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mendoza/Desktop/Research_First_Sourcer_Automation/"/>
    </mc:Choice>
  </mc:AlternateContent>
  <xr:revisionPtr revIDLastSave="0" documentId="13_ncr:1_{85E844D3-1D40-4E4C-B9BE-19BBBD2D7DC9}" xr6:coauthVersionLast="47" xr6:coauthVersionMax="47" xr10:uidLastSave="{00000000-0000-0000-0000-000000000000}"/>
  <bookViews>
    <workbookView xWindow="11580" yWindow="5400" windowWidth="28040" windowHeight="17440" xr2:uid="{C5BCF3CC-AEC5-7940-84D6-5DD84D20ECD5}"/>
  </bookViews>
  <sheets>
    <sheet name="demo_ai_engineer_evaluation_P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</calcChain>
</file>

<file path=xl/sharedStrings.xml><?xml version="1.0" encoding="utf-8"?>
<sst xmlns="http://schemas.openxmlformats.org/spreadsheetml/2006/main" count="2935" uniqueCount="1944">
  <si>
    <t>Person_ID</t>
  </si>
  <si>
    <t>Full_Name</t>
  </si>
  <si>
    <t>Current_Title</t>
  </si>
  <si>
    <t>Current_Company</t>
  </si>
  <si>
    <t>Public_Email</t>
  </si>
  <si>
    <t>Public_Phone</t>
  </si>
  <si>
    <t>Public_Email_Present</t>
  </si>
  <si>
    <t>Public_Phone_Present</t>
  </si>
  <si>
    <t>LinkedIn_URL</t>
  </si>
  <si>
    <t>GitHub_Profile_URL</t>
  </si>
  <si>
    <t>GitHub_IO_URL</t>
  </si>
  <si>
    <t>CV_URL</t>
  </si>
  <si>
    <t>HuggingFace_Profile_URL</t>
  </si>
  <si>
    <t>Primary_GitHub_Repo_URL</t>
  </si>
  <si>
    <t>Notable_Repos_URLs</t>
  </si>
  <si>
    <t>Academic_Website_URL</t>
  </si>
  <si>
    <t>Personal_Website_URL</t>
  </si>
  <si>
    <t>Portfolio_URL</t>
  </si>
  <si>
    <t>OpenAlex_Profile_URL</t>
  </si>
  <si>
    <t>Semantic_Scholar_Profile_URL</t>
  </si>
  <si>
    <t>Google_Scholar_Profile_URL</t>
  </si>
  <si>
    <t>ORCID_URL</t>
  </si>
  <si>
    <t>arXiv_Author_URL</t>
  </si>
  <si>
    <t>AI_Role_Type</t>
  </si>
  <si>
    <t>Determinative_Tier</t>
  </si>
  <si>
    <t>Signal_Tier</t>
  </si>
  <si>
    <t>Citation_Tier</t>
  </si>
  <si>
    <t>Total_Citations</t>
  </si>
  <si>
    <t>H_Index</t>
  </si>
  <si>
    <t>Works_Count</t>
  </si>
  <si>
    <t>Citation_Source</t>
  </si>
  <si>
    <t>Citation_Provenance</t>
  </si>
  <si>
    <t>Pipeline_Mode</t>
  </si>
  <si>
    <t>Run_Timestamp</t>
  </si>
  <si>
    <t>DEMO_DATA_WARNING</t>
  </si>
  <si>
    <t>engineer-001</t>
  </si>
  <si>
    <t>Placeholder AI Engineer 001</t>
  </si>
  <si>
    <t>AI Engineer</t>
  </si>
  <si>
    <t>DemoCorp AI</t>
  </si>
  <si>
    <t>engineer001@example.com</t>
  </si>
  <si>
    <t>https://linkedin.com/in/engineer-001</t>
  </si>
  <si>
    <t>https://github.com/engineer001</t>
  </si>
  <si>
    <t>https://engineer001.github.io</t>
  </si>
  <si>
    <t>https://engineer001.github.io/cv.pdf</t>
  </si>
  <si>
    <t>https://huggingface.co/engineer001</t>
  </si>
  <si>
    <t>https://github.com/engineer001/primary-repo</t>
  </si>
  <si>
    <t>https://github.com/engineer001/repo1;https://github.com/engineer001/repo2</t>
  </si>
  <si>
    <t>https://engineer001.edu</t>
  </si>
  <si>
    <t>https://engineer001.dev</t>
  </si>
  <si>
    <t>https://engineer001.dev/portfolio</t>
  </si>
  <si>
    <t>https://openalex.org/AENGINEER001</t>
  </si>
  <si>
    <t>https://semanticscholar.org/author/engineer-001</t>
  </si>
  <si>
    <t>https://scholar.google.com/citations?user=engineer001</t>
  </si>
  <si>
    <t>https://orcid.org/0000-0002-100001</t>
  </si>
  <si>
    <t>https://arxiv.org/a/engineer_001.html</t>
  </si>
  <si>
    <t>Tier 1</t>
  </si>
  <si>
    <t>High</t>
  </si>
  <si>
    <t>A</t>
  </si>
  <si>
    <t>SYNTHETIC</t>
  </si>
  <si>
    <t>Synthetic Demo Data</t>
  </si>
  <si>
    <t>PLACEHOLDER_DEMO_ONLY</t>
  </si>
  <si>
    <t>2025-12-19T08:51:26.777847</t>
  </si>
  <si>
    <t>SYNTHETIC DATA ‚Äì PLACEHOLDER FOR CAPABILITY DEMO ONLY</t>
  </si>
  <si>
    <t>engineer-002</t>
  </si>
  <si>
    <t>Placeholder AI Engineer 002</t>
  </si>
  <si>
    <t>engineer002@example.com</t>
  </si>
  <si>
    <t>https://linkedin.com/in/engineer-002</t>
  </si>
  <si>
    <t>https://github.com/engineer002</t>
  </si>
  <si>
    <t>https://engineer002.github.io</t>
  </si>
  <si>
    <t>https://engineer002.github.io/cv.pdf</t>
  </si>
  <si>
    <t>https://huggingface.co/engineer002</t>
  </si>
  <si>
    <t>https://github.com/engineer002/primary-repo</t>
  </si>
  <si>
    <t>https://github.com/engineer002/repo1;https://github.com/engineer002/repo2</t>
  </si>
  <si>
    <t>https://engineer002.edu</t>
  </si>
  <si>
    <t>https://engineer002.dev</t>
  </si>
  <si>
    <t>https://engineer002.dev/portfolio</t>
  </si>
  <si>
    <t>https://openalex.org/AENGINEER002</t>
  </si>
  <si>
    <t>https://semanticscholar.org/author/engineer-002</t>
  </si>
  <si>
    <t>https://scholar.google.com/citations?user=engineer002</t>
  </si>
  <si>
    <t>https://orcid.org/0000-0002-100002</t>
  </si>
  <si>
    <t>https://arxiv.org/a/engineer_002.html</t>
  </si>
  <si>
    <t>2025-12-19T08:51:26.777868</t>
  </si>
  <si>
    <t>engineer-003</t>
  </si>
  <si>
    <t>Placeholder AI Engineer 003</t>
  </si>
  <si>
    <t>engineer003@example.com</t>
  </si>
  <si>
    <t>https://linkedin.com/in/engineer-003</t>
  </si>
  <si>
    <t>https://github.com/engineer003</t>
  </si>
  <si>
    <t>https://engineer003.github.io</t>
  </si>
  <si>
    <t>https://engineer003.github.io/cv.pdf</t>
  </si>
  <si>
    <t>https://huggingface.co/engineer003</t>
  </si>
  <si>
    <t>https://github.com/engineer003/primary-repo</t>
  </si>
  <si>
    <t>https://github.com/engineer003/repo1;https://github.com/engineer003/repo2</t>
  </si>
  <si>
    <t>https://engineer003.edu</t>
  </si>
  <si>
    <t>https://engineer003.dev</t>
  </si>
  <si>
    <t>https://engineer003.dev/portfolio</t>
  </si>
  <si>
    <t>https://openalex.org/AENGINEER003</t>
  </si>
  <si>
    <t>https://semanticscholar.org/author/engineer-003</t>
  </si>
  <si>
    <t>https://scholar.google.com/citations?user=engineer003</t>
  </si>
  <si>
    <t>https://orcid.org/0000-0002-100003</t>
  </si>
  <si>
    <t>https://arxiv.org/a/engineer_003.html</t>
  </si>
  <si>
    <t>2025-12-19T08:51:26.777882</t>
  </si>
  <si>
    <t>engineer-004</t>
  </si>
  <si>
    <t>Placeholder AI Engineer 004</t>
  </si>
  <si>
    <t>engineer004@example.com</t>
  </si>
  <si>
    <t>https://linkedin.com/in/engineer-004</t>
  </si>
  <si>
    <t>https://github.com/engineer004</t>
  </si>
  <si>
    <t>https://engineer004.github.io</t>
  </si>
  <si>
    <t>https://engineer004.github.io/cv.pdf</t>
  </si>
  <si>
    <t>https://huggingface.co/engineer004</t>
  </si>
  <si>
    <t>https://github.com/engineer004/primary-repo</t>
  </si>
  <si>
    <t>https://github.com/engineer004/repo1;https://github.com/engineer004/repo2</t>
  </si>
  <si>
    <t>https://engineer004.edu</t>
  </si>
  <si>
    <t>https://engineer004.dev</t>
  </si>
  <si>
    <t>https://engineer004.dev/portfolio</t>
  </si>
  <si>
    <t>https://openalex.org/AENGINEER004</t>
  </si>
  <si>
    <t>https://semanticscholar.org/author/engineer-004</t>
  </si>
  <si>
    <t>https://scholar.google.com/citations?user=engineer004</t>
  </si>
  <si>
    <t>https://orcid.org/0000-0002-100004</t>
  </si>
  <si>
    <t>https://arxiv.org/a/engineer_004.html</t>
  </si>
  <si>
    <t>2025-12-19T08:51:26.777900</t>
  </si>
  <si>
    <t>engineer-005</t>
  </si>
  <si>
    <t>Placeholder AI Engineer 005</t>
  </si>
  <si>
    <t>engineer005@example.com</t>
  </si>
  <si>
    <t>https://linkedin.com/in/engineer-005</t>
  </si>
  <si>
    <t>https://github.com/engineer005</t>
  </si>
  <si>
    <t>https://engineer005.github.io</t>
  </si>
  <si>
    <t>https://engineer005.github.io/cv.pdf</t>
  </si>
  <si>
    <t>https://huggingface.co/engineer005</t>
  </si>
  <si>
    <t>https://github.com/engineer005/primary-repo</t>
  </si>
  <si>
    <t>https://github.com/engineer005/repo1;https://github.com/engineer005/repo2</t>
  </si>
  <si>
    <t>https://engineer005.edu</t>
  </si>
  <si>
    <t>https://engineer005.dev</t>
  </si>
  <si>
    <t>https://engineer005.dev/portfolio</t>
  </si>
  <si>
    <t>https://openalex.org/AENGINEER005</t>
  </si>
  <si>
    <t>https://semanticscholar.org/author/engineer-005</t>
  </si>
  <si>
    <t>https://scholar.google.com/citations?user=engineer005</t>
  </si>
  <si>
    <t>https://orcid.org/0000-0002-100005</t>
  </si>
  <si>
    <t>https://arxiv.org/a/engineer_005.html</t>
  </si>
  <si>
    <t>2025-12-19T08:51:26.777913</t>
  </si>
  <si>
    <t>engineer-006</t>
  </si>
  <si>
    <t>Placeholder AI Engineer 006</t>
  </si>
  <si>
    <t>engineer006@example.com</t>
  </si>
  <si>
    <t>https://linkedin.com/in/engineer-006</t>
  </si>
  <si>
    <t>https://github.com/engineer006</t>
  </si>
  <si>
    <t>https://engineer006.github.io</t>
  </si>
  <si>
    <t>https://engineer006.github.io/cv.pdf</t>
  </si>
  <si>
    <t>https://huggingface.co/engineer006</t>
  </si>
  <si>
    <t>https://github.com/engineer006/primary-repo</t>
  </si>
  <si>
    <t>https://github.com/engineer006/repo1;https://github.com/engineer006/repo2</t>
  </si>
  <si>
    <t>https://engineer006.edu</t>
  </si>
  <si>
    <t>https://engineer006.dev</t>
  </si>
  <si>
    <t>https://engineer006.dev/portfolio</t>
  </si>
  <si>
    <t>https://openalex.org/AENGINEER006</t>
  </si>
  <si>
    <t>https://semanticscholar.org/author/engineer-006</t>
  </si>
  <si>
    <t>https://scholar.google.com/citations?user=engineer006</t>
  </si>
  <si>
    <t>https://orcid.org/0000-0002-100006</t>
  </si>
  <si>
    <t>https://arxiv.org/a/engineer_006.html</t>
  </si>
  <si>
    <t>2025-12-19T08:51:26.777926</t>
  </si>
  <si>
    <t>engineer-007</t>
  </si>
  <si>
    <t>Placeholder AI Engineer 007</t>
  </si>
  <si>
    <t>engineer007@example.com</t>
  </si>
  <si>
    <t>https://linkedin.com/in/engineer-007</t>
  </si>
  <si>
    <t>https://github.com/engineer007</t>
  </si>
  <si>
    <t>https://engineer007.github.io</t>
  </si>
  <si>
    <t>https://engineer007.github.io/cv.pdf</t>
  </si>
  <si>
    <t>https://huggingface.co/engineer007</t>
  </si>
  <si>
    <t>https://github.com/engineer007/primary-repo</t>
  </si>
  <si>
    <t>https://github.com/engineer007/repo1;https://github.com/engineer007/repo2</t>
  </si>
  <si>
    <t>https://engineer007.edu</t>
  </si>
  <si>
    <t>https://engineer007.dev</t>
  </si>
  <si>
    <t>https://engineer007.dev/portfolio</t>
  </si>
  <si>
    <t>https://openalex.org/AENGINEER007</t>
  </si>
  <si>
    <t>https://semanticscholar.org/author/engineer-007</t>
  </si>
  <si>
    <t>https://scholar.google.com/citations?user=engineer007</t>
  </si>
  <si>
    <t>https://orcid.org/0000-0002-100007</t>
  </si>
  <si>
    <t>https://arxiv.org/a/engineer_007.html</t>
  </si>
  <si>
    <t>2025-12-19T08:51:26.777938</t>
  </si>
  <si>
    <t>engineer-008</t>
  </si>
  <si>
    <t>Placeholder AI Engineer 008</t>
  </si>
  <si>
    <t>engineer008@example.com</t>
  </si>
  <si>
    <t>https://linkedin.com/in/engineer-008</t>
  </si>
  <si>
    <t>https://github.com/engineer008</t>
  </si>
  <si>
    <t>https://engineer008.github.io</t>
  </si>
  <si>
    <t>https://engineer008.github.io/cv.pdf</t>
  </si>
  <si>
    <t>https://huggingface.co/engineer008</t>
  </si>
  <si>
    <t>https://github.com/engineer008/primary-repo</t>
  </si>
  <si>
    <t>https://github.com/engineer008/repo1;https://github.com/engineer008/repo2</t>
  </si>
  <si>
    <t>https://engineer008.edu</t>
  </si>
  <si>
    <t>https://engineer008.dev</t>
  </si>
  <si>
    <t>https://engineer008.dev/portfolio</t>
  </si>
  <si>
    <t>https://openalex.org/AENGINEER008</t>
  </si>
  <si>
    <t>https://semanticscholar.org/author/engineer-008</t>
  </si>
  <si>
    <t>https://scholar.google.com/citations?user=engineer008</t>
  </si>
  <si>
    <t>https://orcid.org/0000-0002-100008</t>
  </si>
  <si>
    <t>https://arxiv.org/a/engineer_008.html</t>
  </si>
  <si>
    <t>2025-12-19T08:51:26.777951</t>
  </si>
  <si>
    <t>engineer-009</t>
  </si>
  <si>
    <t>Placeholder AI Engineer 009</t>
  </si>
  <si>
    <t>engineer009@example.com</t>
  </si>
  <si>
    <t>https://linkedin.com/in/engineer-009</t>
  </si>
  <si>
    <t>https://github.com/engineer009</t>
  </si>
  <si>
    <t>https://engineer009.github.io</t>
  </si>
  <si>
    <t>https://engineer009.github.io/cv.pdf</t>
  </si>
  <si>
    <t>https://huggingface.co/engineer009</t>
  </si>
  <si>
    <t>https://github.com/engineer009/primary-repo</t>
  </si>
  <si>
    <t>https://github.com/engineer009/repo1;https://github.com/engineer009/repo2</t>
  </si>
  <si>
    <t>https://engineer009.edu</t>
  </si>
  <si>
    <t>https://engineer009.dev</t>
  </si>
  <si>
    <t>https://engineer009.dev/portfolio</t>
  </si>
  <si>
    <t>https://openalex.org/AENGINEER009</t>
  </si>
  <si>
    <t>https://semanticscholar.org/author/engineer-009</t>
  </si>
  <si>
    <t>https://scholar.google.com/citations?user=engineer009</t>
  </si>
  <si>
    <t>https://orcid.org/0000-0002-100009</t>
  </si>
  <si>
    <t>https://arxiv.org/a/engineer_009.html</t>
  </si>
  <si>
    <t>2025-12-19T08:51:26.777966</t>
  </si>
  <si>
    <t>engineer-010</t>
  </si>
  <si>
    <t>Placeholder AI Engineer 010</t>
  </si>
  <si>
    <t>engineer010@example.com</t>
  </si>
  <si>
    <t>https://linkedin.com/in/engineer-010</t>
  </si>
  <si>
    <t>https://github.com/engineer010</t>
  </si>
  <si>
    <t>https://engineer010.github.io</t>
  </si>
  <si>
    <t>https://engineer010.github.io/cv.pdf</t>
  </si>
  <si>
    <t>https://huggingface.co/engineer010</t>
  </si>
  <si>
    <t>https://github.com/engineer010/primary-repo</t>
  </si>
  <si>
    <t>https://github.com/engineer010/repo1;https://github.com/engineer010/repo2</t>
  </si>
  <si>
    <t>https://engineer010.edu</t>
  </si>
  <si>
    <t>https://engineer010.dev</t>
  </si>
  <si>
    <t>https://engineer010.dev/portfolio</t>
  </si>
  <si>
    <t>https://openalex.org/AENGINEER010</t>
  </si>
  <si>
    <t>https://semanticscholar.org/author/engineer-010</t>
  </si>
  <si>
    <t>https://scholar.google.com/citations?user=engineer010</t>
  </si>
  <si>
    <t>https://orcid.org/0000-0002-100010</t>
  </si>
  <si>
    <t>https://arxiv.org/a/engineer_010.html</t>
  </si>
  <si>
    <t>2025-12-19T08:51:26.777979</t>
  </si>
  <si>
    <t>engineer-011</t>
  </si>
  <si>
    <t>Placeholder AI Engineer 011</t>
  </si>
  <si>
    <t>engineer011@example.com</t>
  </si>
  <si>
    <t>https://linkedin.com/in/engineer-011</t>
  </si>
  <si>
    <t>https://github.com/engineer011</t>
  </si>
  <si>
    <t>https://engineer011.github.io</t>
  </si>
  <si>
    <t>https://engineer011.github.io/cv.pdf</t>
  </si>
  <si>
    <t>https://huggingface.co/engineer011</t>
  </si>
  <si>
    <t>https://github.com/engineer011/primary-repo</t>
  </si>
  <si>
    <t>https://github.com/engineer011/repo1;https://github.com/engineer011/repo2</t>
  </si>
  <si>
    <t>https://engineer011.edu</t>
  </si>
  <si>
    <t>https://engineer011.dev</t>
  </si>
  <si>
    <t>https://engineer011.dev/portfolio</t>
  </si>
  <si>
    <t>https://openalex.org/AENGINEER011</t>
  </si>
  <si>
    <t>https://semanticscholar.org/author/engineer-011</t>
  </si>
  <si>
    <t>https://scholar.google.com/citations?user=engineer011</t>
  </si>
  <si>
    <t>https://orcid.org/0000-0002-100011</t>
  </si>
  <si>
    <t>https://arxiv.org/a/engineer_011.html</t>
  </si>
  <si>
    <t>2025-12-19T08:51:26.777992</t>
  </si>
  <si>
    <t>engineer-012</t>
  </si>
  <si>
    <t>Placeholder AI Engineer 012</t>
  </si>
  <si>
    <t>engineer012@example.com</t>
  </si>
  <si>
    <t>https://linkedin.com/in/engineer-012</t>
  </si>
  <si>
    <t>https://github.com/engineer012</t>
  </si>
  <si>
    <t>https://engineer012.github.io</t>
  </si>
  <si>
    <t>https://engineer012.github.io/cv.pdf</t>
  </si>
  <si>
    <t>https://huggingface.co/engineer012</t>
  </si>
  <si>
    <t>https://github.com/engineer012/primary-repo</t>
  </si>
  <si>
    <t>https://github.com/engineer012/repo1;https://github.com/engineer012/repo2</t>
  </si>
  <si>
    <t>https://engineer012.edu</t>
  </si>
  <si>
    <t>https://engineer012.dev</t>
  </si>
  <si>
    <t>https://engineer012.dev/portfolio</t>
  </si>
  <si>
    <t>https://openalex.org/AENGINEER012</t>
  </si>
  <si>
    <t>https://semanticscholar.org/author/engineer-012</t>
  </si>
  <si>
    <t>https://scholar.google.com/citations?user=engineer012</t>
  </si>
  <si>
    <t>https://orcid.org/0000-0002-100012</t>
  </si>
  <si>
    <t>https://arxiv.org/a/engineer_012.html</t>
  </si>
  <si>
    <t>2025-12-19T08:51:26.778004</t>
  </si>
  <si>
    <t>engineer-013</t>
  </si>
  <si>
    <t>Placeholder AI Engineer 013</t>
  </si>
  <si>
    <t>engineer013@example.com</t>
  </si>
  <si>
    <t>https://linkedin.com/in/engineer-013</t>
  </si>
  <si>
    <t>https://github.com/engineer013</t>
  </si>
  <si>
    <t>https://engineer013.github.io</t>
  </si>
  <si>
    <t>https://engineer013.github.io/cv.pdf</t>
  </si>
  <si>
    <t>https://huggingface.co/engineer013</t>
  </si>
  <si>
    <t>https://github.com/engineer013/primary-repo</t>
  </si>
  <si>
    <t>https://github.com/engineer013/repo1;https://github.com/engineer013/repo2</t>
  </si>
  <si>
    <t>https://engineer013.edu</t>
  </si>
  <si>
    <t>https://engineer013.dev</t>
  </si>
  <si>
    <t>https://engineer013.dev/portfolio</t>
  </si>
  <si>
    <t>https://openalex.org/AENGINEER013</t>
  </si>
  <si>
    <t>https://semanticscholar.org/author/engineer-013</t>
  </si>
  <si>
    <t>https://scholar.google.com/citations?user=engineer013</t>
  </si>
  <si>
    <t>https://orcid.org/0000-0002-100013</t>
  </si>
  <si>
    <t>https://arxiv.org/a/engineer_013.html</t>
  </si>
  <si>
    <t>2025-12-19T08:51:26.778019</t>
  </si>
  <si>
    <t>engineer-014</t>
  </si>
  <si>
    <t>Placeholder AI Engineer 014</t>
  </si>
  <si>
    <t>engineer014@example.com</t>
  </si>
  <si>
    <t>https://linkedin.com/in/engineer-014</t>
  </si>
  <si>
    <t>https://github.com/engineer014</t>
  </si>
  <si>
    <t>https://engineer014.github.io</t>
  </si>
  <si>
    <t>https://engineer014.github.io/cv.pdf</t>
  </si>
  <si>
    <t>https://huggingface.co/engineer014</t>
  </si>
  <si>
    <t>https://github.com/engineer014/primary-repo</t>
  </si>
  <si>
    <t>https://github.com/engineer014/repo1;https://github.com/engineer014/repo2</t>
  </si>
  <si>
    <t>https://engineer014.edu</t>
  </si>
  <si>
    <t>https://engineer014.dev</t>
  </si>
  <si>
    <t>https://engineer014.dev/portfolio</t>
  </si>
  <si>
    <t>https://openalex.org/AENGINEER014</t>
  </si>
  <si>
    <t>https://semanticscholar.org/author/engineer-014</t>
  </si>
  <si>
    <t>https://scholar.google.com/citations?user=engineer014</t>
  </si>
  <si>
    <t>https://orcid.org/0000-0002-100014</t>
  </si>
  <si>
    <t>https://arxiv.org/a/engineer_014.html</t>
  </si>
  <si>
    <t>2025-12-19T08:51:26.778031</t>
  </si>
  <si>
    <t>engineer-015</t>
  </si>
  <si>
    <t>Placeholder AI Engineer 015</t>
  </si>
  <si>
    <t>engineer015@example.com</t>
  </si>
  <si>
    <t>https://linkedin.com/in/engineer-015</t>
  </si>
  <si>
    <t>https://github.com/engineer015</t>
  </si>
  <si>
    <t>https://engineer015.github.io</t>
  </si>
  <si>
    <t>https://engineer015.github.io/cv.pdf</t>
  </si>
  <si>
    <t>https://huggingface.co/engineer015</t>
  </si>
  <si>
    <t>https://github.com/engineer015/primary-repo</t>
  </si>
  <si>
    <t>https://github.com/engineer015/repo1;https://github.com/engineer015/repo2</t>
  </si>
  <si>
    <t>https://engineer015.edu</t>
  </si>
  <si>
    <t>https://engineer015.dev</t>
  </si>
  <si>
    <t>https://engineer015.dev/portfolio</t>
  </si>
  <si>
    <t>https://openalex.org/AENGINEER015</t>
  </si>
  <si>
    <t>https://semanticscholar.org/author/engineer-015</t>
  </si>
  <si>
    <t>https://scholar.google.com/citations?user=engineer015</t>
  </si>
  <si>
    <t>https://orcid.org/0000-0002-100015</t>
  </si>
  <si>
    <t>https://arxiv.org/a/engineer_015.html</t>
  </si>
  <si>
    <t>2025-12-19T08:51:26.778044</t>
  </si>
  <si>
    <t>engineer-016</t>
  </si>
  <si>
    <t>Placeholder AI Engineer 016</t>
  </si>
  <si>
    <t>engineer016@example.com</t>
  </si>
  <si>
    <t>https://linkedin.com/in/engineer-016</t>
  </si>
  <si>
    <t>https://github.com/engineer016</t>
  </si>
  <si>
    <t>https://engineer016.github.io</t>
  </si>
  <si>
    <t>https://engineer016.github.io/cv.pdf</t>
  </si>
  <si>
    <t>https://huggingface.co/engineer016</t>
  </si>
  <si>
    <t>https://github.com/engineer016/primary-repo</t>
  </si>
  <si>
    <t>https://github.com/engineer016/repo1;https://github.com/engineer016/repo2</t>
  </si>
  <si>
    <t>https://engineer016.edu</t>
  </si>
  <si>
    <t>https://engineer016.dev</t>
  </si>
  <si>
    <t>https://engineer016.dev/portfolio</t>
  </si>
  <si>
    <t>https://openalex.org/AENGINEER016</t>
  </si>
  <si>
    <t>https://semanticscholar.org/author/engineer-016</t>
  </si>
  <si>
    <t>https://scholar.google.com/citations?user=engineer016</t>
  </si>
  <si>
    <t>https://orcid.org/0000-0002-100016</t>
  </si>
  <si>
    <t>https://arxiv.org/a/engineer_016.html</t>
  </si>
  <si>
    <t>2025-12-19T08:51:26.778057</t>
  </si>
  <si>
    <t>engineer-017</t>
  </si>
  <si>
    <t>Placeholder AI Engineer 017</t>
  </si>
  <si>
    <t>engineer017@example.com</t>
  </si>
  <si>
    <t>https://linkedin.com/in/engineer-017</t>
  </si>
  <si>
    <t>https://github.com/engineer017</t>
  </si>
  <si>
    <t>https://engineer017.github.io</t>
  </si>
  <si>
    <t>https://engineer017.github.io/cv.pdf</t>
  </si>
  <si>
    <t>https://huggingface.co/engineer017</t>
  </si>
  <si>
    <t>https://github.com/engineer017/primary-repo</t>
  </si>
  <si>
    <t>https://github.com/engineer017/repo1;https://github.com/engineer017/repo2</t>
  </si>
  <si>
    <t>https://engineer017.edu</t>
  </si>
  <si>
    <t>https://engineer017.dev</t>
  </si>
  <si>
    <t>https://engineer017.dev/portfolio</t>
  </si>
  <si>
    <t>https://openalex.org/AENGINEER017</t>
  </si>
  <si>
    <t>https://semanticscholar.org/author/engineer-017</t>
  </si>
  <si>
    <t>https://scholar.google.com/citations?user=engineer017</t>
  </si>
  <si>
    <t>https://orcid.org/0000-0002-100017</t>
  </si>
  <si>
    <t>https://arxiv.org/a/engineer_017.html</t>
  </si>
  <si>
    <t>2025-12-19T08:51:26.778069</t>
  </si>
  <si>
    <t>engineer-018</t>
  </si>
  <si>
    <t>Placeholder AI Engineer 018</t>
  </si>
  <si>
    <t>engineer018@example.com</t>
  </si>
  <si>
    <t>https://linkedin.com/in/engineer-018</t>
  </si>
  <si>
    <t>https://github.com/engineer018</t>
  </si>
  <si>
    <t>https://engineer018.github.io</t>
  </si>
  <si>
    <t>https://engineer018.github.io/cv.pdf</t>
  </si>
  <si>
    <t>https://huggingface.co/engineer018</t>
  </si>
  <si>
    <t>https://github.com/engineer018/primary-repo</t>
  </si>
  <si>
    <t>https://github.com/engineer018/repo1;https://github.com/engineer018/repo2</t>
  </si>
  <si>
    <t>https://engineer018.edu</t>
  </si>
  <si>
    <t>https://engineer018.dev</t>
  </si>
  <si>
    <t>https://engineer018.dev/portfolio</t>
  </si>
  <si>
    <t>https://openalex.org/AENGINEER018</t>
  </si>
  <si>
    <t>https://semanticscholar.org/author/engineer-018</t>
  </si>
  <si>
    <t>https://scholar.google.com/citations?user=engineer018</t>
  </si>
  <si>
    <t>https://orcid.org/0000-0002-100018</t>
  </si>
  <si>
    <t>https://arxiv.org/a/engineer_018.html</t>
  </si>
  <si>
    <t>2025-12-19T08:51:26.778084</t>
  </si>
  <si>
    <t>engineer-019</t>
  </si>
  <si>
    <t>Placeholder AI Engineer 019</t>
  </si>
  <si>
    <t>engineer019@example.com</t>
  </si>
  <si>
    <t>https://linkedin.com/in/engineer-019</t>
  </si>
  <si>
    <t>https://github.com/engineer019</t>
  </si>
  <si>
    <t>https://engineer019.github.io</t>
  </si>
  <si>
    <t>https://engineer019.github.io/cv.pdf</t>
  </si>
  <si>
    <t>https://huggingface.co/engineer019</t>
  </si>
  <si>
    <t>https://github.com/engineer019/primary-repo</t>
  </si>
  <si>
    <t>https://github.com/engineer019/repo1;https://github.com/engineer019/repo2</t>
  </si>
  <si>
    <t>https://engineer019.edu</t>
  </si>
  <si>
    <t>https://engineer019.dev</t>
  </si>
  <si>
    <t>https://engineer019.dev/portfolio</t>
  </si>
  <si>
    <t>https://openalex.org/AENGINEER019</t>
  </si>
  <si>
    <t>https://semanticscholar.org/author/engineer-019</t>
  </si>
  <si>
    <t>https://scholar.google.com/citations?user=engineer019</t>
  </si>
  <si>
    <t>https://orcid.org/0000-0002-100019</t>
  </si>
  <si>
    <t>https://arxiv.org/a/engineer_019.html</t>
  </si>
  <si>
    <t>2025-12-19T08:51:26.778098</t>
  </si>
  <si>
    <t>engineer-020</t>
  </si>
  <si>
    <t>Placeholder AI Engineer 020</t>
  </si>
  <si>
    <t>engineer020@example.com</t>
  </si>
  <si>
    <t>https://linkedin.com/in/engineer-020</t>
  </si>
  <si>
    <t>https://github.com/engineer020</t>
  </si>
  <si>
    <t>https://engineer020.github.io</t>
  </si>
  <si>
    <t>https://engineer020.github.io/cv.pdf</t>
  </si>
  <si>
    <t>https://huggingface.co/engineer020</t>
  </si>
  <si>
    <t>https://github.com/engineer020/primary-repo</t>
  </si>
  <si>
    <t>https://github.com/engineer020/repo1;https://github.com/engineer020/repo2</t>
  </si>
  <si>
    <t>https://engineer020.edu</t>
  </si>
  <si>
    <t>https://engineer020.dev</t>
  </si>
  <si>
    <t>https://engineer020.dev/portfolio</t>
  </si>
  <si>
    <t>https://openalex.org/AENGINEER020</t>
  </si>
  <si>
    <t>https://semanticscholar.org/author/engineer-020</t>
  </si>
  <si>
    <t>https://scholar.google.com/citations?user=engineer020</t>
  </si>
  <si>
    <t>https://orcid.org/0000-0002-100020</t>
  </si>
  <si>
    <t>https://arxiv.org/a/engineer_020.html</t>
  </si>
  <si>
    <t>2025-12-19T08:51:26.778111</t>
  </si>
  <si>
    <t>engineer-021</t>
  </si>
  <si>
    <t>Placeholder AI Engineer 021</t>
  </si>
  <si>
    <t>engineer021@example.com</t>
  </si>
  <si>
    <t>https://linkedin.com/in/engineer-021</t>
  </si>
  <si>
    <t>https://github.com/engineer021</t>
  </si>
  <si>
    <t>https://engineer021.github.io</t>
  </si>
  <si>
    <t>https://engineer021.github.io/cv.pdf</t>
  </si>
  <si>
    <t>https://huggingface.co/engineer021</t>
  </si>
  <si>
    <t>https://github.com/engineer021/primary-repo</t>
  </si>
  <si>
    <t>https://github.com/engineer021/repo1;https://github.com/engineer021/repo2</t>
  </si>
  <si>
    <t>https://engineer021.edu</t>
  </si>
  <si>
    <t>https://engineer021.dev</t>
  </si>
  <si>
    <t>https://engineer021.dev/portfolio</t>
  </si>
  <si>
    <t>https://openalex.org/AENGINEER021</t>
  </si>
  <si>
    <t>https://semanticscholar.org/author/engineer-021</t>
  </si>
  <si>
    <t>https://scholar.google.com/citations?user=engineer021</t>
  </si>
  <si>
    <t>https://orcid.org/0000-0002-100021</t>
  </si>
  <si>
    <t>https://arxiv.org/a/engineer_021.html</t>
  </si>
  <si>
    <t>2025-12-19T08:51:26.778123</t>
  </si>
  <si>
    <t>engineer-022</t>
  </si>
  <si>
    <t>Placeholder AI Engineer 022</t>
  </si>
  <si>
    <t>engineer022@example.com</t>
  </si>
  <si>
    <t>https://linkedin.com/in/engineer-022</t>
  </si>
  <si>
    <t>https://github.com/engineer022</t>
  </si>
  <si>
    <t>https://engineer022.github.io</t>
  </si>
  <si>
    <t>https://engineer022.github.io/cv.pdf</t>
  </si>
  <si>
    <t>https://huggingface.co/engineer022</t>
  </si>
  <si>
    <t>https://github.com/engineer022/primary-repo</t>
  </si>
  <si>
    <t>https://github.com/engineer022/repo1;https://github.com/engineer022/repo2</t>
  </si>
  <si>
    <t>https://engineer022.edu</t>
  </si>
  <si>
    <t>https://engineer022.dev</t>
  </si>
  <si>
    <t>https://engineer022.dev/portfolio</t>
  </si>
  <si>
    <t>https://openalex.org/AENGINEER022</t>
  </si>
  <si>
    <t>https://semanticscholar.org/author/engineer-022</t>
  </si>
  <si>
    <t>https://scholar.google.com/citations?user=engineer022</t>
  </si>
  <si>
    <t>https://orcid.org/0000-0002-100022</t>
  </si>
  <si>
    <t>https://arxiv.org/a/engineer_022.html</t>
  </si>
  <si>
    <t>2025-12-19T08:51:26.778136</t>
  </si>
  <si>
    <t>engineer-023</t>
  </si>
  <si>
    <t>Placeholder AI Engineer 023</t>
  </si>
  <si>
    <t>engineer023@example.com</t>
  </si>
  <si>
    <t>https://linkedin.com/in/engineer-023</t>
  </si>
  <si>
    <t>https://github.com/engineer023</t>
  </si>
  <si>
    <t>https://engineer023.github.io</t>
  </si>
  <si>
    <t>https://engineer023.github.io/cv.pdf</t>
  </si>
  <si>
    <t>https://huggingface.co/engineer023</t>
  </si>
  <si>
    <t>https://github.com/engineer023/primary-repo</t>
  </si>
  <si>
    <t>https://github.com/engineer023/repo1;https://github.com/engineer023/repo2</t>
  </si>
  <si>
    <t>https://engineer023.edu</t>
  </si>
  <si>
    <t>https://engineer023.dev</t>
  </si>
  <si>
    <t>https://engineer023.dev/portfolio</t>
  </si>
  <si>
    <t>https://openalex.org/AENGINEER023</t>
  </si>
  <si>
    <t>https://semanticscholar.org/author/engineer-023</t>
  </si>
  <si>
    <t>https://scholar.google.com/citations?user=engineer023</t>
  </si>
  <si>
    <t>https://orcid.org/0000-0002-100023</t>
  </si>
  <si>
    <t>https://arxiv.org/a/engineer_023.html</t>
  </si>
  <si>
    <t>2025-12-19T08:51:26.778151</t>
  </si>
  <si>
    <t>engineer-024</t>
  </si>
  <si>
    <t>Placeholder AI Engineer 024</t>
  </si>
  <si>
    <t>engineer024@example.com</t>
  </si>
  <si>
    <t>https://linkedin.com/in/engineer-024</t>
  </si>
  <si>
    <t>https://github.com/engineer024</t>
  </si>
  <si>
    <t>https://engineer024.github.io</t>
  </si>
  <si>
    <t>https://engineer024.github.io/cv.pdf</t>
  </si>
  <si>
    <t>https://huggingface.co/engineer024</t>
  </si>
  <si>
    <t>https://github.com/engineer024/primary-repo</t>
  </si>
  <si>
    <t>https://github.com/engineer024/repo1;https://github.com/engineer024/repo2</t>
  </si>
  <si>
    <t>https://engineer024.edu</t>
  </si>
  <si>
    <t>https://engineer024.dev</t>
  </si>
  <si>
    <t>https://engineer024.dev/portfolio</t>
  </si>
  <si>
    <t>https://openalex.org/AENGINEER024</t>
  </si>
  <si>
    <t>https://semanticscholar.org/author/engineer-024</t>
  </si>
  <si>
    <t>https://scholar.google.com/citations?user=engineer024</t>
  </si>
  <si>
    <t>https://orcid.org/0000-0002-100024</t>
  </si>
  <si>
    <t>https://arxiv.org/a/engineer_024.html</t>
  </si>
  <si>
    <t>2025-12-19T08:51:26.778163</t>
  </si>
  <si>
    <t>engineer-025</t>
  </si>
  <si>
    <t>Placeholder AI Engineer 025</t>
  </si>
  <si>
    <t>engineer025@example.com</t>
  </si>
  <si>
    <t>https://linkedin.com/in/engineer-025</t>
  </si>
  <si>
    <t>https://github.com/engineer025</t>
  </si>
  <si>
    <t>https://engineer025.github.io</t>
  </si>
  <si>
    <t>https://engineer025.github.io/cv.pdf</t>
  </si>
  <si>
    <t>https://huggingface.co/engineer025</t>
  </si>
  <si>
    <t>https://github.com/engineer025/primary-repo</t>
  </si>
  <si>
    <t>https://github.com/engineer025/repo1;https://github.com/engineer025/repo2</t>
  </si>
  <si>
    <t>https://engineer025.edu</t>
  </si>
  <si>
    <t>https://engineer025.dev</t>
  </si>
  <si>
    <t>https://engineer025.dev/portfolio</t>
  </si>
  <si>
    <t>https://openalex.org/AENGINEER025</t>
  </si>
  <si>
    <t>https://semanticscholar.org/author/engineer-025</t>
  </si>
  <si>
    <t>https://scholar.google.com/citations?user=engineer025</t>
  </si>
  <si>
    <t>https://orcid.org/0000-0002-100025</t>
  </si>
  <si>
    <t>https://arxiv.org/a/engineer_025.html</t>
  </si>
  <si>
    <t>2025-12-19T08:51:26.778175</t>
  </si>
  <si>
    <t>engineer-026</t>
  </si>
  <si>
    <t>Placeholder AI Engineer 026</t>
  </si>
  <si>
    <t>engineer026@example.com</t>
  </si>
  <si>
    <t>https://linkedin.com/in/engineer-026</t>
  </si>
  <si>
    <t>https://github.com/engineer026</t>
  </si>
  <si>
    <t>https://engineer026.github.io</t>
  </si>
  <si>
    <t>https://engineer026.github.io/cv.pdf</t>
  </si>
  <si>
    <t>https://huggingface.co/engineer026</t>
  </si>
  <si>
    <t>https://github.com/engineer026/primary-repo</t>
  </si>
  <si>
    <t>https://github.com/engineer026/repo1;https://github.com/engineer026/repo2</t>
  </si>
  <si>
    <t>https://engineer026.edu</t>
  </si>
  <si>
    <t>https://engineer026.dev</t>
  </si>
  <si>
    <t>https://engineer026.dev/portfolio</t>
  </si>
  <si>
    <t>https://openalex.org/AENGINEER026</t>
  </si>
  <si>
    <t>https://semanticscholar.org/author/engineer-026</t>
  </si>
  <si>
    <t>https://scholar.google.com/citations?user=engineer026</t>
  </si>
  <si>
    <t>https://orcid.org/0000-0002-100026</t>
  </si>
  <si>
    <t>https://arxiv.org/a/engineer_026.html</t>
  </si>
  <si>
    <t>2025-12-19T08:51:26.778206</t>
  </si>
  <si>
    <t>engineer-027</t>
  </si>
  <si>
    <t>Placeholder AI Engineer 027</t>
  </si>
  <si>
    <t>engineer027@example.com</t>
  </si>
  <si>
    <t>https://linkedin.com/in/engineer-027</t>
  </si>
  <si>
    <t>https://github.com/engineer027</t>
  </si>
  <si>
    <t>https://engineer027.github.io</t>
  </si>
  <si>
    <t>https://engineer027.github.io/cv.pdf</t>
  </si>
  <si>
    <t>https://huggingface.co/engineer027</t>
  </si>
  <si>
    <t>https://github.com/engineer027/primary-repo</t>
  </si>
  <si>
    <t>https://github.com/engineer027/repo1;https://github.com/engineer027/repo2</t>
  </si>
  <si>
    <t>https://engineer027.edu</t>
  </si>
  <si>
    <t>https://engineer027.dev</t>
  </si>
  <si>
    <t>https://engineer027.dev/portfolio</t>
  </si>
  <si>
    <t>https://openalex.org/AENGINEER027</t>
  </si>
  <si>
    <t>https://semanticscholar.org/author/engineer-027</t>
  </si>
  <si>
    <t>https://scholar.google.com/citations?user=engineer027</t>
  </si>
  <si>
    <t>https://orcid.org/0000-0002-100027</t>
  </si>
  <si>
    <t>https://arxiv.org/a/engineer_027.html</t>
  </si>
  <si>
    <t>2025-12-19T08:51:26.778221</t>
  </si>
  <si>
    <t>engineer-028</t>
  </si>
  <si>
    <t>Placeholder AI Engineer 028</t>
  </si>
  <si>
    <t>engineer028@example.com</t>
  </si>
  <si>
    <t>https://linkedin.com/in/engineer-028</t>
  </si>
  <si>
    <t>https://github.com/engineer028</t>
  </si>
  <si>
    <t>https://engineer028.github.io</t>
  </si>
  <si>
    <t>https://engineer028.github.io/cv.pdf</t>
  </si>
  <si>
    <t>https://huggingface.co/engineer028</t>
  </si>
  <si>
    <t>https://github.com/engineer028/primary-repo</t>
  </si>
  <si>
    <t>https://github.com/engineer028/repo1;https://github.com/engineer028/repo2</t>
  </si>
  <si>
    <t>https://engineer028.edu</t>
  </si>
  <si>
    <t>https://engineer028.dev</t>
  </si>
  <si>
    <t>https://engineer028.dev/portfolio</t>
  </si>
  <si>
    <t>https://openalex.org/AENGINEER028</t>
  </si>
  <si>
    <t>https://semanticscholar.org/author/engineer-028</t>
  </si>
  <si>
    <t>https://scholar.google.com/citations?user=engineer028</t>
  </si>
  <si>
    <t>https://orcid.org/0000-0002-100028</t>
  </si>
  <si>
    <t>https://arxiv.org/a/engineer_028.html</t>
  </si>
  <si>
    <t>2025-12-19T08:51:26.778234</t>
  </si>
  <si>
    <t>engineer-029</t>
  </si>
  <si>
    <t>Placeholder AI Engineer 029</t>
  </si>
  <si>
    <t>engineer029@example.com</t>
  </si>
  <si>
    <t>https://linkedin.com/in/engineer-029</t>
  </si>
  <si>
    <t>https://github.com/engineer029</t>
  </si>
  <si>
    <t>https://engineer029.github.io</t>
  </si>
  <si>
    <t>https://engineer029.github.io/cv.pdf</t>
  </si>
  <si>
    <t>https://huggingface.co/engineer029</t>
  </si>
  <si>
    <t>https://github.com/engineer029/primary-repo</t>
  </si>
  <si>
    <t>https://github.com/engineer029/repo1;https://github.com/engineer029/repo2</t>
  </si>
  <si>
    <t>https://engineer029.edu</t>
  </si>
  <si>
    <t>https://engineer029.dev</t>
  </si>
  <si>
    <t>https://engineer029.dev/portfolio</t>
  </si>
  <si>
    <t>https://openalex.org/AENGINEER029</t>
  </si>
  <si>
    <t>https://semanticscholar.org/author/engineer-029</t>
  </si>
  <si>
    <t>https://scholar.google.com/citations?user=engineer029</t>
  </si>
  <si>
    <t>https://orcid.org/0000-0002-100029</t>
  </si>
  <si>
    <t>https://arxiv.org/a/engineer_029.html</t>
  </si>
  <si>
    <t>2025-12-19T08:51:26.778246</t>
  </si>
  <si>
    <t>engineer-030</t>
  </si>
  <si>
    <t>Placeholder AI Engineer 030</t>
  </si>
  <si>
    <t>engineer030@example.com</t>
  </si>
  <si>
    <t>https://linkedin.com/in/engineer-030</t>
  </si>
  <si>
    <t>https://github.com/engineer030</t>
  </si>
  <si>
    <t>https://engineer030.github.io</t>
  </si>
  <si>
    <t>https://engineer030.github.io/cv.pdf</t>
  </si>
  <si>
    <t>https://huggingface.co/engineer030</t>
  </si>
  <si>
    <t>https://github.com/engineer030/primary-repo</t>
  </si>
  <si>
    <t>https://github.com/engineer030/repo1;https://github.com/engineer030/repo2</t>
  </si>
  <si>
    <t>https://engineer030.edu</t>
  </si>
  <si>
    <t>https://engineer030.dev</t>
  </si>
  <si>
    <t>https://engineer030.dev/portfolio</t>
  </si>
  <si>
    <t>https://openalex.org/AENGINEER030</t>
  </si>
  <si>
    <t>https://semanticscholar.org/author/engineer-030</t>
  </si>
  <si>
    <t>https://scholar.google.com/citations?user=engineer030</t>
  </si>
  <si>
    <t>https://orcid.org/0000-0002-100030</t>
  </si>
  <si>
    <t>https://arxiv.org/a/engineer_030.html</t>
  </si>
  <si>
    <t>2025-12-19T08:51:26.778261</t>
  </si>
  <si>
    <t>engineer-031</t>
  </si>
  <si>
    <t>Placeholder AI Engineer 031</t>
  </si>
  <si>
    <t>engineer031@example.com</t>
  </si>
  <si>
    <t>https://linkedin.com/in/engineer-031</t>
  </si>
  <si>
    <t>https://github.com/engineer031</t>
  </si>
  <si>
    <t>https://engineer031.github.io</t>
  </si>
  <si>
    <t>https://engineer031.github.io/cv.pdf</t>
  </si>
  <si>
    <t>https://huggingface.co/engineer031</t>
  </si>
  <si>
    <t>https://github.com/engineer031/primary-repo</t>
  </si>
  <si>
    <t>https://github.com/engineer031/repo1;https://github.com/engineer031/repo2</t>
  </si>
  <si>
    <t>https://engineer031.edu</t>
  </si>
  <si>
    <t>https://engineer031.dev</t>
  </si>
  <si>
    <t>https://engineer031.dev/portfolio</t>
  </si>
  <si>
    <t>https://openalex.org/AENGINEER031</t>
  </si>
  <si>
    <t>https://semanticscholar.org/author/engineer-031</t>
  </si>
  <si>
    <t>https://scholar.google.com/citations?user=engineer031</t>
  </si>
  <si>
    <t>https://orcid.org/0000-0002-100031</t>
  </si>
  <si>
    <t>https://arxiv.org/a/engineer_031.html</t>
  </si>
  <si>
    <t>2025-12-19T08:51:26.778279</t>
  </si>
  <si>
    <t>engineer-032</t>
  </si>
  <si>
    <t>Placeholder AI Engineer 032</t>
  </si>
  <si>
    <t>engineer032@example.com</t>
  </si>
  <si>
    <t>https://linkedin.com/in/engineer-032</t>
  </si>
  <si>
    <t>https://github.com/engineer032</t>
  </si>
  <si>
    <t>https://engineer032.github.io</t>
  </si>
  <si>
    <t>https://engineer032.github.io/cv.pdf</t>
  </si>
  <si>
    <t>https://huggingface.co/engineer032</t>
  </si>
  <si>
    <t>https://github.com/engineer032/primary-repo</t>
  </si>
  <si>
    <t>https://github.com/engineer032/repo1;https://github.com/engineer032/repo2</t>
  </si>
  <si>
    <t>https://engineer032.edu</t>
  </si>
  <si>
    <t>https://engineer032.dev</t>
  </si>
  <si>
    <t>https://engineer032.dev/portfolio</t>
  </si>
  <si>
    <t>https://openalex.org/AENGINEER032</t>
  </si>
  <si>
    <t>https://semanticscholar.org/author/engineer-032</t>
  </si>
  <si>
    <t>https://scholar.google.com/citations?user=engineer032</t>
  </si>
  <si>
    <t>https://orcid.org/0000-0002-100032</t>
  </si>
  <si>
    <t>https://arxiv.org/a/engineer_032.html</t>
  </si>
  <si>
    <t>2025-12-19T08:51:26.778306</t>
  </si>
  <si>
    <t>engineer-033</t>
  </si>
  <si>
    <t>Placeholder AI Engineer 033</t>
  </si>
  <si>
    <t>engineer033@example.com</t>
  </si>
  <si>
    <t>https://linkedin.com/in/engineer-033</t>
  </si>
  <si>
    <t>https://github.com/engineer033</t>
  </si>
  <si>
    <t>https://engineer033.github.io</t>
  </si>
  <si>
    <t>https://engineer033.github.io/cv.pdf</t>
  </si>
  <si>
    <t>https://huggingface.co/engineer033</t>
  </si>
  <si>
    <t>https://github.com/engineer033/primary-repo</t>
  </si>
  <si>
    <t>https://github.com/engineer033/repo1;https://github.com/engineer033/repo2</t>
  </si>
  <si>
    <t>https://engineer033.edu</t>
  </si>
  <si>
    <t>https://engineer033.dev</t>
  </si>
  <si>
    <t>https://engineer033.dev/portfolio</t>
  </si>
  <si>
    <t>https://openalex.org/AENGINEER033</t>
  </si>
  <si>
    <t>https://semanticscholar.org/author/engineer-033</t>
  </si>
  <si>
    <t>https://scholar.google.com/citations?user=engineer033</t>
  </si>
  <si>
    <t>https://orcid.org/0000-0002-100033</t>
  </si>
  <si>
    <t>https://arxiv.org/a/engineer_033.html</t>
  </si>
  <si>
    <t>2025-12-19T08:51:26.778317</t>
  </si>
  <si>
    <t>engineer-034</t>
  </si>
  <si>
    <t>Placeholder AI Engineer 034</t>
  </si>
  <si>
    <t>engineer034@example.com</t>
  </si>
  <si>
    <t>https://linkedin.com/in/engineer-034</t>
  </si>
  <si>
    <t>https://github.com/engineer034</t>
  </si>
  <si>
    <t>https://engineer034.github.io</t>
  </si>
  <si>
    <t>https://engineer034.github.io/cv.pdf</t>
  </si>
  <si>
    <t>https://huggingface.co/engineer034</t>
  </si>
  <si>
    <t>https://github.com/engineer034/primary-repo</t>
  </si>
  <si>
    <t>https://github.com/engineer034/repo1;https://github.com/engineer034/repo2</t>
  </si>
  <si>
    <t>https://engineer034.edu</t>
  </si>
  <si>
    <t>https://engineer034.dev</t>
  </si>
  <si>
    <t>https://engineer034.dev/portfolio</t>
  </si>
  <si>
    <t>https://openalex.org/AENGINEER034</t>
  </si>
  <si>
    <t>https://semanticscholar.org/author/engineer-034</t>
  </si>
  <si>
    <t>https://scholar.google.com/citations?user=engineer034</t>
  </si>
  <si>
    <t>https://orcid.org/0000-0002-100034</t>
  </si>
  <si>
    <t>https://arxiv.org/a/engineer_034.html</t>
  </si>
  <si>
    <t>2025-12-19T08:51:26.778328</t>
  </si>
  <si>
    <t>engineer-035</t>
  </si>
  <si>
    <t>Placeholder AI Engineer 035</t>
  </si>
  <si>
    <t>engineer035@example.com</t>
  </si>
  <si>
    <t>https://linkedin.com/in/engineer-035</t>
  </si>
  <si>
    <t>https://github.com/engineer035</t>
  </si>
  <si>
    <t>https://engineer035.github.io</t>
  </si>
  <si>
    <t>https://engineer035.github.io/cv.pdf</t>
  </si>
  <si>
    <t>https://huggingface.co/engineer035</t>
  </si>
  <si>
    <t>https://github.com/engineer035/primary-repo</t>
  </si>
  <si>
    <t>https://github.com/engineer035/repo1;https://github.com/engineer035/repo2</t>
  </si>
  <si>
    <t>https://engineer035.edu</t>
  </si>
  <si>
    <t>https://engineer035.dev</t>
  </si>
  <si>
    <t>https://engineer035.dev/portfolio</t>
  </si>
  <si>
    <t>https://openalex.org/AENGINEER035</t>
  </si>
  <si>
    <t>https://semanticscholar.org/author/engineer-035</t>
  </si>
  <si>
    <t>https://scholar.google.com/citations?user=engineer035</t>
  </si>
  <si>
    <t>https://orcid.org/0000-0002-100035</t>
  </si>
  <si>
    <t>https://arxiv.org/a/engineer_035.html</t>
  </si>
  <si>
    <t>2025-12-19T08:51:26.778339</t>
  </si>
  <si>
    <t>engineer-036</t>
  </si>
  <si>
    <t>Placeholder AI Engineer 036</t>
  </si>
  <si>
    <t>engineer036@example.com</t>
  </si>
  <si>
    <t>https://linkedin.com/in/engineer-036</t>
  </si>
  <si>
    <t>https://github.com/engineer036</t>
  </si>
  <si>
    <t>https://engineer036.github.io</t>
  </si>
  <si>
    <t>https://engineer036.github.io/cv.pdf</t>
  </si>
  <si>
    <t>https://huggingface.co/engineer036</t>
  </si>
  <si>
    <t>https://github.com/engineer036/primary-repo</t>
  </si>
  <si>
    <t>https://github.com/engineer036/repo1;https://github.com/engineer036/repo2</t>
  </si>
  <si>
    <t>https://engineer036.edu</t>
  </si>
  <si>
    <t>https://engineer036.dev</t>
  </si>
  <si>
    <t>https://engineer036.dev/portfolio</t>
  </si>
  <si>
    <t>https://openalex.org/AENGINEER036</t>
  </si>
  <si>
    <t>https://semanticscholar.org/author/engineer-036</t>
  </si>
  <si>
    <t>https://scholar.google.com/citations?user=engineer036</t>
  </si>
  <si>
    <t>https://orcid.org/0000-0002-100036</t>
  </si>
  <si>
    <t>https://arxiv.org/a/engineer_036.html</t>
  </si>
  <si>
    <t>2025-12-19T08:51:26.778351</t>
  </si>
  <si>
    <t>engineer-037</t>
  </si>
  <si>
    <t>Placeholder AI Engineer 037</t>
  </si>
  <si>
    <t>engineer037@example.com</t>
  </si>
  <si>
    <t>https://linkedin.com/in/engineer-037</t>
  </si>
  <si>
    <t>https://github.com/engineer037</t>
  </si>
  <si>
    <t>https://engineer037.github.io</t>
  </si>
  <si>
    <t>https://engineer037.github.io/cv.pdf</t>
  </si>
  <si>
    <t>https://huggingface.co/engineer037</t>
  </si>
  <si>
    <t>https://github.com/engineer037/primary-repo</t>
  </si>
  <si>
    <t>https://github.com/engineer037/repo1;https://github.com/engineer037/repo2</t>
  </si>
  <si>
    <t>https://engineer037.edu</t>
  </si>
  <si>
    <t>https://engineer037.dev</t>
  </si>
  <si>
    <t>https://engineer037.dev/portfolio</t>
  </si>
  <si>
    <t>https://openalex.org/AENGINEER037</t>
  </si>
  <si>
    <t>https://semanticscholar.org/author/engineer-037</t>
  </si>
  <si>
    <t>https://scholar.google.com/citations?user=engineer037</t>
  </si>
  <si>
    <t>https://orcid.org/0000-0002-100037</t>
  </si>
  <si>
    <t>https://arxiv.org/a/engineer_037.html</t>
  </si>
  <si>
    <t>2025-12-19T08:51:26.778362</t>
  </si>
  <si>
    <t>engineer-038</t>
  </si>
  <si>
    <t>Placeholder AI Engineer 038</t>
  </si>
  <si>
    <t>engineer038@example.com</t>
  </si>
  <si>
    <t>https://linkedin.com/in/engineer-038</t>
  </si>
  <si>
    <t>https://github.com/engineer038</t>
  </si>
  <si>
    <t>https://engineer038.github.io</t>
  </si>
  <si>
    <t>https://engineer038.github.io/cv.pdf</t>
  </si>
  <si>
    <t>https://huggingface.co/engineer038</t>
  </si>
  <si>
    <t>https://github.com/engineer038/primary-repo</t>
  </si>
  <si>
    <t>https://github.com/engineer038/repo1;https://github.com/engineer038/repo2</t>
  </si>
  <si>
    <t>https://engineer038.edu</t>
  </si>
  <si>
    <t>https://engineer038.dev</t>
  </si>
  <si>
    <t>https://engineer038.dev/portfolio</t>
  </si>
  <si>
    <t>https://openalex.org/AENGINEER038</t>
  </si>
  <si>
    <t>https://semanticscholar.org/author/engineer-038</t>
  </si>
  <si>
    <t>https://scholar.google.com/citations?user=engineer038</t>
  </si>
  <si>
    <t>https://orcid.org/0000-0002-100038</t>
  </si>
  <si>
    <t>https://arxiv.org/a/engineer_038.html</t>
  </si>
  <si>
    <t>2025-12-19T08:51:26.778373</t>
  </si>
  <si>
    <t>engineer-039</t>
  </si>
  <si>
    <t>Placeholder AI Engineer 039</t>
  </si>
  <si>
    <t>engineer039@example.com</t>
  </si>
  <si>
    <t>https://linkedin.com/in/engineer-039</t>
  </si>
  <si>
    <t>https://github.com/engineer039</t>
  </si>
  <si>
    <t>https://engineer039.github.io</t>
  </si>
  <si>
    <t>https://engineer039.github.io/cv.pdf</t>
  </si>
  <si>
    <t>https://huggingface.co/engineer039</t>
  </si>
  <si>
    <t>https://github.com/engineer039/primary-repo</t>
  </si>
  <si>
    <t>https://github.com/engineer039/repo1;https://github.com/engineer039/repo2</t>
  </si>
  <si>
    <t>https://engineer039.edu</t>
  </si>
  <si>
    <t>https://engineer039.dev</t>
  </si>
  <si>
    <t>https://engineer039.dev/portfolio</t>
  </si>
  <si>
    <t>https://openalex.org/AENGINEER039</t>
  </si>
  <si>
    <t>https://semanticscholar.org/author/engineer-039</t>
  </si>
  <si>
    <t>https://scholar.google.com/citations?user=engineer039</t>
  </si>
  <si>
    <t>https://orcid.org/0000-0002-100039</t>
  </si>
  <si>
    <t>https://arxiv.org/a/engineer_039.html</t>
  </si>
  <si>
    <t>2025-12-19T08:51:26.778383</t>
  </si>
  <si>
    <t>engineer-040</t>
  </si>
  <si>
    <t>Placeholder AI Engineer 040</t>
  </si>
  <si>
    <t>engineer040@example.com</t>
  </si>
  <si>
    <t>https://linkedin.com/in/engineer-040</t>
  </si>
  <si>
    <t>https://github.com/engineer040</t>
  </si>
  <si>
    <t>https://engineer040.github.io</t>
  </si>
  <si>
    <t>https://engineer040.github.io/cv.pdf</t>
  </si>
  <si>
    <t>https://huggingface.co/engineer040</t>
  </si>
  <si>
    <t>https://github.com/engineer040/primary-repo</t>
  </si>
  <si>
    <t>https://github.com/engineer040/repo1;https://github.com/engineer040/repo2</t>
  </si>
  <si>
    <t>https://engineer040.edu</t>
  </si>
  <si>
    <t>https://engineer040.dev</t>
  </si>
  <si>
    <t>https://engineer040.dev/portfolio</t>
  </si>
  <si>
    <t>https://openalex.org/AENGINEER040</t>
  </si>
  <si>
    <t>https://semanticscholar.org/author/engineer-040</t>
  </si>
  <si>
    <t>https://scholar.google.com/citations?user=engineer040</t>
  </si>
  <si>
    <t>https://orcid.org/0000-0002-100040</t>
  </si>
  <si>
    <t>https://arxiv.org/a/engineer_040.html</t>
  </si>
  <si>
    <t>2025-12-19T08:51:26.778396</t>
  </si>
  <si>
    <t>engineer-041</t>
  </si>
  <si>
    <t>Placeholder AI Engineer 041</t>
  </si>
  <si>
    <t>engineer041@example.com</t>
  </si>
  <si>
    <t>https://linkedin.com/in/engineer-041</t>
  </si>
  <si>
    <t>https://github.com/engineer041</t>
  </si>
  <si>
    <t>https://engineer041.github.io</t>
  </si>
  <si>
    <t>https://engineer041.github.io/cv.pdf</t>
  </si>
  <si>
    <t>https://huggingface.co/engineer041</t>
  </si>
  <si>
    <t>https://github.com/engineer041/primary-repo</t>
  </si>
  <si>
    <t>https://github.com/engineer041/repo1;https://github.com/engineer041/repo2</t>
  </si>
  <si>
    <t>https://engineer041.edu</t>
  </si>
  <si>
    <t>https://engineer041.dev</t>
  </si>
  <si>
    <t>https://engineer041.dev/portfolio</t>
  </si>
  <si>
    <t>https://openalex.org/AENGINEER041</t>
  </si>
  <si>
    <t>https://semanticscholar.org/author/engineer-041</t>
  </si>
  <si>
    <t>https://scholar.google.com/citations?user=engineer041</t>
  </si>
  <si>
    <t>https://orcid.org/0000-0002-100041</t>
  </si>
  <si>
    <t>https://arxiv.org/a/engineer_041.html</t>
  </si>
  <si>
    <t>2025-12-19T08:51:26.778409</t>
  </si>
  <si>
    <t>engineer-042</t>
  </si>
  <si>
    <t>Placeholder AI Engineer 042</t>
  </si>
  <si>
    <t>engineer042@example.com</t>
  </si>
  <si>
    <t>https://linkedin.com/in/engineer-042</t>
  </si>
  <si>
    <t>https://github.com/engineer042</t>
  </si>
  <si>
    <t>https://engineer042.github.io</t>
  </si>
  <si>
    <t>https://engineer042.github.io/cv.pdf</t>
  </si>
  <si>
    <t>https://huggingface.co/engineer042</t>
  </si>
  <si>
    <t>https://github.com/engineer042/primary-repo</t>
  </si>
  <si>
    <t>https://github.com/engineer042/repo1;https://github.com/engineer042/repo2</t>
  </si>
  <si>
    <t>https://engineer042.edu</t>
  </si>
  <si>
    <t>https://engineer042.dev</t>
  </si>
  <si>
    <t>https://engineer042.dev/portfolio</t>
  </si>
  <si>
    <t>https://openalex.org/AENGINEER042</t>
  </si>
  <si>
    <t>https://semanticscholar.org/author/engineer-042</t>
  </si>
  <si>
    <t>https://scholar.google.com/citations?user=engineer042</t>
  </si>
  <si>
    <t>https://orcid.org/0000-0002-100042</t>
  </si>
  <si>
    <t>https://arxiv.org/a/engineer_042.html</t>
  </si>
  <si>
    <t>2025-12-19T08:51:26.778420</t>
  </si>
  <si>
    <t>engineer-043</t>
  </si>
  <si>
    <t>Placeholder AI Engineer 043</t>
  </si>
  <si>
    <t>engineer043@example.com</t>
  </si>
  <si>
    <t>https://linkedin.com/in/engineer-043</t>
  </si>
  <si>
    <t>https://github.com/engineer043</t>
  </si>
  <si>
    <t>https://engineer043.github.io</t>
  </si>
  <si>
    <t>https://engineer043.github.io/cv.pdf</t>
  </si>
  <si>
    <t>https://huggingface.co/engineer043</t>
  </si>
  <si>
    <t>https://github.com/engineer043/primary-repo</t>
  </si>
  <si>
    <t>https://github.com/engineer043/repo1;https://github.com/engineer043/repo2</t>
  </si>
  <si>
    <t>https://engineer043.edu</t>
  </si>
  <si>
    <t>https://engineer043.dev</t>
  </si>
  <si>
    <t>https://engineer043.dev/portfolio</t>
  </si>
  <si>
    <t>https://openalex.org/AENGINEER043</t>
  </si>
  <si>
    <t>https://semanticscholar.org/author/engineer-043</t>
  </si>
  <si>
    <t>https://scholar.google.com/citations?user=engineer043</t>
  </si>
  <si>
    <t>https://orcid.org/0000-0002-100043</t>
  </si>
  <si>
    <t>https://arxiv.org/a/engineer_043.html</t>
  </si>
  <si>
    <t>2025-12-19T08:51:26.778431</t>
  </si>
  <si>
    <t>engineer-044</t>
  </si>
  <si>
    <t>Placeholder AI Engineer 044</t>
  </si>
  <si>
    <t>engineer044@example.com</t>
  </si>
  <si>
    <t>https://linkedin.com/in/engineer-044</t>
  </si>
  <si>
    <t>https://github.com/engineer044</t>
  </si>
  <si>
    <t>https://engineer044.github.io</t>
  </si>
  <si>
    <t>https://engineer044.github.io/cv.pdf</t>
  </si>
  <si>
    <t>https://huggingface.co/engineer044</t>
  </si>
  <si>
    <t>https://github.com/engineer044/primary-repo</t>
  </si>
  <si>
    <t>https://github.com/engineer044/repo1;https://github.com/engineer044/repo2</t>
  </si>
  <si>
    <t>https://engineer044.edu</t>
  </si>
  <si>
    <t>https://engineer044.dev</t>
  </si>
  <si>
    <t>https://engineer044.dev/portfolio</t>
  </si>
  <si>
    <t>https://openalex.org/AENGINEER044</t>
  </si>
  <si>
    <t>https://semanticscholar.org/author/engineer-044</t>
  </si>
  <si>
    <t>https://scholar.google.com/citations?user=engineer044</t>
  </si>
  <si>
    <t>https://orcid.org/0000-0002-100044</t>
  </si>
  <si>
    <t>https://arxiv.org/a/engineer_044.html</t>
  </si>
  <si>
    <t>2025-12-19T08:51:26.778443</t>
  </si>
  <si>
    <t>engineer-045</t>
  </si>
  <si>
    <t>Placeholder AI Engineer 045</t>
  </si>
  <si>
    <t>engineer045@example.com</t>
  </si>
  <si>
    <t>https://linkedin.com/in/engineer-045</t>
  </si>
  <si>
    <t>https://github.com/engineer045</t>
  </si>
  <si>
    <t>https://engineer045.github.io</t>
  </si>
  <si>
    <t>https://engineer045.github.io/cv.pdf</t>
  </si>
  <si>
    <t>https://huggingface.co/engineer045</t>
  </si>
  <si>
    <t>https://github.com/engineer045/primary-repo</t>
  </si>
  <si>
    <t>https://github.com/engineer045/repo1;https://github.com/engineer045/repo2</t>
  </si>
  <si>
    <t>https://engineer045.edu</t>
  </si>
  <si>
    <t>https://engineer045.dev</t>
  </si>
  <si>
    <t>https://engineer045.dev/portfolio</t>
  </si>
  <si>
    <t>https://openalex.org/AENGINEER045</t>
  </si>
  <si>
    <t>https://semanticscholar.org/author/engineer-045</t>
  </si>
  <si>
    <t>https://scholar.google.com/citations?user=engineer045</t>
  </si>
  <si>
    <t>https://orcid.org/0000-0002-100045</t>
  </si>
  <si>
    <t>https://arxiv.org/a/engineer_045.html</t>
  </si>
  <si>
    <t>2025-12-19T08:51:26.778454</t>
  </si>
  <si>
    <t>engineer-046</t>
  </si>
  <si>
    <t>Placeholder AI Engineer 046</t>
  </si>
  <si>
    <t>engineer046@example.com</t>
  </si>
  <si>
    <t>https://linkedin.com/in/engineer-046</t>
  </si>
  <si>
    <t>https://github.com/engineer046</t>
  </si>
  <si>
    <t>https://engineer046.github.io</t>
  </si>
  <si>
    <t>https://engineer046.github.io/cv.pdf</t>
  </si>
  <si>
    <t>https://huggingface.co/engineer046</t>
  </si>
  <si>
    <t>https://github.com/engineer046/primary-repo</t>
  </si>
  <si>
    <t>https://github.com/engineer046/repo1;https://github.com/engineer046/repo2</t>
  </si>
  <si>
    <t>https://engineer046.edu</t>
  </si>
  <si>
    <t>https://engineer046.dev</t>
  </si>
  <si>
    <t>https://engineer046.dev/portfolio</t>
  </si>
  <si>
    <t>https://openalex.org/AENGINEER046</t>
  </si>
  <si>
    <t>https://semanticscholar.org/author/engineer-046</t>
  </si>
  <si>
    <t>https://scholar.google.com/citations?user=engineer046</t>
  </si>
  <si>
    <t>https://orcid.org/0000-0002-100046</t>
  </si>
  <si>
    <t>https://arxiv.org/a/engineer_046.html</t>
  </si>
  <si>
    <t>2025-12-19T08:51:26.778467</t>
  </si>
  <si>
    <t>engineer-047</t>
  </si>
  <si>
    <t>Placeholder AI Engineer 047</t>
  </si>
  <si>
    <t>engineer047@example.com</t>
  </si>
  <si>
    <t>https://linkedin.com/in/engineer-047</t>
  </si>
  <si>
    <t>https://github.com/engineer047</t>
  </si>
  <si>
    <t>https://engineer047.github.io</t>
  </si>
  <si>
    <t>https://engineer047.github.io/cv.pdf</t>
  </si>
  <si>
    <t>https://huggingface.co/engineer047</t>
  </si>
  <si>
    <t>https://github.com/engineer047/primary-repo</t>
  </si>
  <si>
    <t>https://github.com/engineer047/repo1;https://github.com/engineer047/repo2</t>
  </si>
  <si>
    <t>https://engineer047.edu</t>
  </si>
  <si>
    <t>https://engineer047.dev</t>
  </si>
  <si>
    <t>https://engineer047.dev/portfolio</t>
  </si>
  <si>
    <t>https://openalex.org/AENGINEER047</t>
  </si>
  <si>
    <t>https://semanticscholar.org/author/engineer-047</t>
  </si>
  <si>
    <t>https://scholar.google.com/citations?user=engineer047</t>
  </si>
  <si>
    <t>https://orcid.org/0000-0002-100047</t>
  </si>
  <si>
    <t>https://arxiv.org/a/engineer_047.html</t>
  </si>
  <si>
    <t>2025-12-19T08:51:26.778477</t>
  </si>
  <si>
    <t>engineer-048</t>
  </si>
  <si>
    <t>Placeholder AI Engineer 048</t>
  </si>
  <si>
    <t>engineer048@example.com</t>
  </si>
  <si>
    <t>https://linkedin.com/in/engineer-048</t>
  </si>
  <si>
    <t>https://github.com/engineer048</t>
  </si>
  <si>
    <t>https://engineer048.github.io</t>
  </si>
  <si>
    <t>https://engineer048.github.io/cv.pdf</t>
  </si>
  <si>
    <t>https://huggingface.co/engineer048</t>
  </si>
  <si>
    <t>https://github.com/engineer048/primary-repo</t>
  </si>
  <si>
    <t>https://github.com/engineer048/repo1;https://github.com/engineer048/repo2</t>
  </si>
  <si>
    <t>https://engineer048.edu</t>
  </si>
  <si>
    <t>https://engineer048.dev</t>
  </si>
  <si>
    <t>https://engineer048.dev/portfolio</t>
  </si>
  <si>
    <t>https://openalex.org/AENGINEER048</t>
  </si>
  <si>
    <t>https://semanticscholar.org/author/engineer-048</t>
  </si>
  <si>
    <t>https://scholar.google.com/citations?user=engineer048</t>
  </si>
  <si>
    <t>https://orcid.org/0000-0002-100048</t>
  </si>
  <si>
    <t>https://arxiv.org/a/engineer_048.html</t>
  </si>
  <si>
    <t>2025-12-19T08:51:26.778488</t>
  </si>
  <si>
    <t>engineer-049</t>
  </si>
  <si>
    <t>Placeholder AI Engineer 049</t>
  </si>
  <si>
    <t>engineer049@example.com</t>
  </si>
  <si>
    <t>https://linkedin.com/in/engineer-049</t>
  </si>
  <si>
    <t>https://github.com/engineer049</t>
  </si>
  <si>
    <t>https://engineer049.github.io</t>
  </si>
  <si>
    <t>https://engineer049.github.io/cv.pdf</t>
  </si>
  <si>
    <t>https://huggingface.co/engineer049</t>
  </si>
  <si>
    <t>https://github.com/engineer049/primary-repo</t>
  </si>
  <si>
    <t>https://github.com/engineer049/repo1;https://github.com/engineer049/repo2</t>
  </si>
  <si>
    <t>https://engineer049.edu</t>
  </si>
  <si>
    <t>https://engineer049.dev</t>
  </si>
  <si>
    <t>https://engineer049.dev/portfolio</t>
  </si>
  <si>
    <t>https://openalex.org/AENGINEER049</t>
  </si>
  <si>
    <t>https://semanticscholar.org/author/engineer-049</t>
  </si>
  <si>
    <t>https://scholar.google.com/citations?user=engineer049</t>
  </si>
  <si>
    <t>https://orcid.org/0000-0002-100049</t>
  </si>
  <si>
    <t>https://arxiv.org/a/engineer_049.html</t>
  </si>
  <si>
    <t>2025-12-19T08:51:26.778499</t>
  </si>
  <si>
    <t>engineer-050</t>
  </si>
  <si>
    <t>Placeholder AI Engineer 050</t>
  </si>
  <si>
    <t>engineer050@example.com</t>
  </si>
  <si>
    <t>https://linkedin.com/in/engineer-050</t>
  </si>
  <si>
    <t>https://github.com/engineer050</t>
  </si>
  <si>
    <t>https://engineer050.github.io</t>
  </si>
  <si>
    <t>https://engineer050.github.io/cv.pdf</t>
  </si>
  <si>
    <t>https://huggingface.co/engineer050</t>
  </si>
  <si>
    <t>https://github.com/engineer050/primary-repo</t>
  </si>
  <si>
    <t>https://github.com/engineer050/repo1;https://github.com/engineer050/repo2</t>
  </si>
  <si>
    <t>https://engineer050.edu</t>
  </si>
  <si>
    <t>https://engineer050.dev</t>
  </si>
  <si>
    <t>https://engineer050.dev/portfolio</t>
  </si>
  <si>
    <t>https://openalex.org/AENGINEER050</t>
  </si>
  <si>
    <t>https://semanticscholar.org/author/engineer-050</t>
  </si>
  <si>
    <t>https://scholar.google.com/citations?user=engineer050</t>
  </si>
  <si>
    <t>https://orcid.org/0000-0002-100050</t>
  </si>
  <si>
    <t>https://arxiv.org/a/engineer_050.html</t>
  </si>
  <si>
    <t>2025-12-19T08:51:26.778512</t>
  </si>
  <si>
    <t>engineer-051</t>
  </si>
  <si>
    <t>Placeholder AI Engineer 051</t>
  </si>
  <si>
    <t>engineer051@example.com</t>
  </si>
  <si>
    <t>https://linkedin.com/in/engineer-051</t>
  </si>
  <si>
    <t>https://github.com/engineer051</t>
  </si>
  <si>
    <t>https://engineer051.github.io</t>
  </si>
  <si>
    <t>https://engineer051.github.io/cv.pdf</t>
  </si>
  <si>
    <t>https://huggingface.co/engineer051</t>
  </si>
  <si>
    <t>https://github.com/engineer051/primary-repo</t>
  </si>
  <si>
    <t>https://github.com/engineer051/repo1;https://github.com/engineer051/repo2</t>
  </si>
  <si>
    <t>https://engineer051.edu</t>
  </si>
  <si>
    <t>https://engineer051.dev</t>
  </si>
  <si>
    <t>https://engineer051.dev/portfolio</t>
  </si>
  <si>
    <t>https://openalex.org/AENGINEER051</t>
  </si>
  <si>
    <t>https://semanticscholar.org/author/engineer-051</t>
  </si>
  <si>
    <t>https://scholar.google.com/citations?user=engineer051</t>
  </si>
  <si>
    <t>https://orcid.org/0000-0002-100051</t>
  </si>
  <si>
    <t>https://arxiv.org/a/engineer_051.html</t>
  </si>
  <si>
    <t>2025-12-19T08:51:26.778523</t>
  </si>
  <si>
    <t>engineer-052</t>
  </si>
  <si>
    <t>Placeholder AI Engineer 052</t>
  </si>
  <si>
    <t>engineer052@example.com</t>
  </si>
  <si>
    <t>https://linkedin.com/in/engineer-052</t>
  </si>
  <si>
    <t>https://github.com/engineer052</t>
  </si>
  <si>
    <t>https://engineer052.github.io</t>
  </si>
  <si>
    <t>https://engineer052.github.io/cv.pdf</t>
  </si>
  <si>
    <t>https://huggingface.co/engineer052</t>
  </si>
  <si>
    <t>https://github.com/engineer052/primary-repo</t>
  </si>
  <si>
    <t>https://github.com/engineer052/repo1;https://github.com/engineer052/repo2</t>
  </si>
  <si>
    <t>https://engineer052.edu</t>
  </si>
  <si>
    <t>https://engineer052.dev</t>
  </si>
  <si>
    <t>https://engineer052.dev/portfolio</t>
  </si>
  <si>
    <t>https://openalex.org/AENGINEER052</t>
  </si>
  <si>
    <t>https://semanticscholar.org/author/engineer-052</t>
  </si>
  <si>
    <t>https://scholar.google.com/citations?user=engineer052</t>
  </si>
  <si>
    <t>https://orcid.org/0000-0002-100052</t>
  </si>
  <si>
    <t>https://arxiv.org/a/engineer_052.html</t>
  </si>
  <si>
    <t>2025-12-19T08:51:26.778533</t>
  </si>
  <si>
    <t>engineer-053</t>
  </si>
  <si>
    <t>Placeholder AI Engineer 053</t>
  </si>
  <si>
    <t>engineer053@example.com</t>
  </si>
  <si>
    <t>https://linkedin.com/in/engineer-053</t>
  </si>
  <si>
    <t>https://github.com/engineer053</t>
  </si>
  <si>
    <t>https://engineer053.github.io</t>
  </si>
  <si>
    <t>https://engineer053.github.io/cv.pdf</t>
  </si>
  <si>
    <t>https://huggingface.co/engineer053</t>
  </si>
  <si>
    <t>https://github.com/engineer053/primary-repo</t>
  </si>
  <si>
    <t>https://github.com/engineer053/repo1;https://github.com/engineer053/repo2</t>
  </si>
  <si>
    <t>https://engineer053.edu</t>
  </si>
  <si>
    <t>https://engineer053.dev</t>
  </si>
  <si>
    <t>https://engineer053.dev/portfolio</t>
  </si>
  <si>
    <t>https://openalex.org/AENGINEER053</t>
  </si>
  <si>
    <t>https://semanticscholar.org/author/engineer-053</t>
  </si>
  <si>
    <t>https://scholar.google.com/citations?user=engineer053</t>
  </si>
  <si>
    <t>https://orcid.org/0000-0002-100053</t>
  </si>
  <si>
    <t>https://arxiv.org/a/engineer_053.html</t>
  </si>
  <si>
    <t>2025-12-19T08:51:26.778544</t>
  </si>
  <si>
    <t>engineer-054</t>
  </si>
  <si>
    <t>Placeholder AI Engineer 054</t>
  </si>
  <si>
    <t>engineer054@example.com</t>
  </si>
  <si>
    <t>https://linkedin.com/in/engineer-054</t>
  </si>
  <si>
    <t>https://github.com/engineer054</t>
  </si>
  <si>
    <t>https://engineer054.github.io</t>
  </si>
  <si>
    <t>https://engineer054.github.io/cv.pdf</t>
  </si>
  <si>
    <t>https://huggingface.co/engineer054</t>
  </si>
  <si>
    <t>https://github.com/engineer054/primary-repo</t>
  </si>
  <si>
    <t>https://github.com/engineer054/repo1;https://github.com/engineer054/repo2</t>
  </si>
  <si>
    <t>https://engineer054.edu</t>
  </si>
  <si>
    <t>https://engineer054.dev</t>
  </si>
  <si>
    <t>https://engineer054.dev/portfolio</t>
  </si>
  <si>
    <t>https://openalex.org/AENGINEER054</t>
  </si>
  <si>
    <t>https://semanticscholar.org/author/engineer-054</t>
  </si>
  <si>
    <t>https://scholar.google.com/citations?user=engineer054</t>
  </si>
  <si>
    <t>https://orcid.org/0000-0002-100054</t>
  </si>
  <si>
    <t>https://arxiv.org/a/engineer_054.html</t>
  </si>
  <si>
    <t>2025-12-19T08:51:26.778557</t>
  </si>
  <si>
    <t>engineer-055</t>
  </si>
  <si>
    <t>Placeholder AI Engineer 055</t>
  </si>
  <si>
    <t>engineer055@example.com</t>
  </si>
  <si>
    <t>https://linkedin.com/in/engineer-055</t>
  </si>
  <si>
    <t>https://github.com/engineer055</t>
  </si>
  <si>
    <t>https://engineer055.github.io</t>
  </si>
  <si>
    <t>https://engineer055.github.io/cv.pdf</t>
  </si>
  <si>
    <t>https://huggingface.co/engineer055</t>
  </si>
  <si>
    <t>https://github.com/engineer055/primary-repo</t>
  </si>
  <si>
    <t>https://github.com/engineer055/repo1;https://github.com/engineer055/repo2</t>
  </si>
  <si>
    <t>https://engineer055.edu</t>
  </si>
  <si>
    <t>https://engineer055.dev</t>
  </si>
  <si>
    <t>https://engineer055.dev/portfolio</t>
  </si>
  <si>
    <t>https://openalex.org/AENGINEER055</t>
  </si>
  <si>
    <t>https://semanticscholar.org/author/engineer-055</t>
  </si>
  <si>
    <t>https://scholar.google.com/citations?user=engineer055</t>
  </si>
  <si>
    <t>https://orcid.org/0000-0002-100055</t>
  </si>
  <si>
    <t>https://arxiv.org/a/engineer_055.html</t>
  </si>
  <si>
    <t>2025-12-19T08:51:26.778570</t>
  </si>
  <si>
    <t>engineer-056</t>
  </si>
  <si>
    <t>Placeholder AI Engineer 056</t>
  </si>
  <si>
    <t>engineer056@example.com</t>
  </si>
  <si>
    <t>https://linkedin.com/in/engineer-056</t>
  </si>
  <si>
    <t>https://github.com/engineer056</t>
  </si>
  <si>
    <t>https://engineer056.github.io</t>
  </si>
  <si>
    <t>https://engineer056.github.io/cv.pdf</t>
  </si>
  <si>
    <t>https://huggingface.co/engineer056</t>
  </si>
  <si>
    <t>https://github.com/engineer056/primary-repo</t>
  </si>
  <si>
    <t>https://github.com/engineer056/repo1;https://github.com/engineer056/repo2</t>
  </si>
  <si>
    <t>https://engineer056.edu</t>
  </si>
  <si>
    <t>https://engineer056.dev</t>
  </si>
  <si>
    <t>https://engineer056.dev/portfolio</t>
  </si>
  <si>
    <t>https://openalex.org/AENGINEER056</t>
  </si>
  <si>
    <t>https://semanticscholar.org/author/engineer-056</t>
  </si>
  <si>
    <t>https://scholar.google.com/citations?user=engineer056</t>
  </si>
  <si>
    <t>https://orcid.org/0000-0002-100056</t>
  </si>
  <si>
    <t>https://arxiv.org/a/engineer_056.html</t>
  </si>
  <si>
    <t>2025-12-19T08:51:26.778581</t>
  </si>
  <si>
    <t>engineer-057</t>
  </si>
  <si>
    <t>Placeholder AI Engineer 057</t>
  </si>
  <si>
    <t>engineer057@example.com</t>
  </si>
  <si>
    <t>https://linkedin.com/in/engineer-057</t>
  </si>
  <si>
    <t>https://github.com/engineer057</t>
  </si>
  <si>
    <t>https://engineer057.github.io</t>
  </si>
  <si>
    <t>https://engineer057.github.io/cv.pdf</t>
  </si>
  <si>
    <t>https://huggingface.co/engineer057</t>
  </si>
  <si>
    <t>https://github.com/engineer057/primary-repo</t>
  </si>
  <si>
    <t>https://github.com/engineer057/repo1;https://github.com/engineer057/repo2</t>
  </si>
  <si>
    <t>https://engineer057.edu</t>
  </si>
  <si>
    <t>https://engineer057.dev</t>
  </si>
  <si>
    <t>https://engineer057.dev/portfolio</t>
  </si>
  <si>
    <t>https://openalex.org/AENGINEER057</t>
  </si>
  <si>
    <t>https://semanticscholar.org/author/engineer-057</t>
  </si>
  <si>
    <t>https://scholar.google.com/citations?user=engineer057</t>
  </si>
  <si>
    <t>https://orcid.org/0000-0002-100057</t>
  </si>
  <si>
    <t>https://arxiv.org/a/engineer_057.html</t>
  </si>
  <si>
    <t>2025-12-19T08:51:26.778593</t>
  </si>
  <si>
    <t>engineer-058</t>
  </si>
  <si>
    <t>Placeholder AI Engineer 058</t>
  </si>
  <si>
    <t>engineer058@example.com</t>
  </si>
  <si>
    <t>https://linkedin.com/in/engineer-058</t>
  </si>
  <si>
    <t>https://github.com/engineer058</t>
  </si>
  <si>
    <t>https://engineer058.github.io</t>
  </si>
  <si>
    <t>https://engineer058.github.io/cv.pdf</t>
  </si>
  <si>
    <t>https://huggingface.co/engineer058</t>
  </si>
  <si>
    <t>https://github.com/engineer058/primary-repo</t>
  </si>
  <si>
    <t>https://github.com/engineer058/repo1;https://github.com/engineer058/repo2</t>
  </si>
  <si>
    <t>https://engineer058.edu</t>
  </si>
  <si>
    <t>https://engineer058.dev</t>
  </si>
  <si>
    <t>https://engineer058.dev/portfolio</t>
  </si>
  <si>
    <t>https://openalex.org/AENGINEER058</t>
  </si>
  <si>
    <t>https://semanticscholar.org/author/engineer-058</t>
  </si>
  <si>
    <t>https://scholar.google.com/citations?user=engineer058</t>
  </si>
  <si>
    <t>https://orcid.org/0000-0002-100058</t>
  </si>
  <si>
    <t>https://arxiv.org/a/engineer_058.html</t>
  </si>
  <si>
    <t>2025-12-19T08:51:26.778604</t>
  </si>
  <si>
    <t>engineer-059</t>
  </si>
  <si>
    <t>Placeholder AI Engineer 059</t>
  </si>
  <si>
    <t>engineer059@example.com</t>
  </si>
  <si>
    <t>https://linkedin.com/in/engineer-059</t>
  </si>
  <si>
    <t>https://github.com/engineer059</t>
  </si>
  <si>
    <t>https://engineer059.github.io</t>
  </si>
  <si>
    <t>https://engineer059.github.io/cv.pdf</t>
  </si>
  <si>
    <t>https://huggingface.co/engineer059</t>
  </si>
  <si>
    <t>https://github.com/engineer059/primary-repo</t>
  </si>
  <si>
    <t>https://github.com/engineer059/repo1;https://github.com/engineer059/repo2</t>
  </si>
  <si>
    <t>https://engineer059.edu</t>
  </si>
  <si>
    <t>https://engineer059.dev</t>
  </si>
  <si>
    <t>https://engineer059.dev/portfolio</t>
  </si>
  <si>
    <t>https://openalex.org/AENGINEER059</t>
  </si>
  <si>
    <t>https://semanticscholar.org/author/engineer-059</t>
  </si>
  <si>
    <t>https://scholar.google.com/citations?user=engineer059</t>
  </si>
  <si>
    <t>https://orcid.org/0000-0002-100059</t>
  </si>
  <si>
    <t>https://arxiv.org/a/engineer_059.html</t>
  </si>
  <si>
    <t>2025-12-19T08:51:26.778614</t>
  </si>
  <si>
    <t>engineer-060</t>
  </si>
  <si>
    <t>Placeholder AI Engineer 060</t>
  </si>
  <si>
    <t>engineer060@example.com</t>
  </si>
  <si>
    <t>https://linkedin.com/in/engineer-060</t>
  </si>
  <si>
    <t>https://github.com/engineer060</t>
  </si>
  <si>
    <t>https://engineer060.github.io</t>
  </si>
  <si>
    <t>https://engineer060.github.io/cv.pdf</t>
  </si>
  <si>
    <t>https://huggingface.co/engineer060</t>
  </si>
  <si>
    <t>https://github.com/engineer060/primary-repo</t>
  </si>
  <si>
    <t>https://github.com/engineer060/repo1;https://github.com/engineer060/repo2</t>
  </si>
  <si>
    <t>https://engineer060.edu</t>
  </si>
  <si>
    <t>https://engineer060.dev</t>
  </si>
  <si>
    <t>https://engineer060.dev/portfolio</t>
  </si>
  <si>
    <t>https://openalex.org/AENGINEER060</t>
  </si>
  <si>
    <t>https://semanticscholar.org/author/engineer-060</t>
  </si>
  <si>
    <t>https://scholar.google.com/citations?user=engineer060</t>
  </si>
  <si>
    <t>https://orcid.org/0000-0002-100060</t>
  </si>
  <si>
    <t>https://arxiv.org/a/engineer_060.html</t>
  </si>
  <si>
    <t>2025-12-19T08:51:26.778627</t>
  </si>
  <si>
    <t>engineer-061</t>
  </si>
  <si>
    <t>Placeholder AI Engineer 061</t>
  </si>
  <si>
    <t>engineer061@example.com</t>
  </si>
  <si>
    <t>https://linkedin.com/in/engineer-061</t>
  </si>
  <si>
    <t>https://github.com/engineer061</t>
  </si>
  <si>
    <t>https://engineer061.github.io</t>
  </si>
  <si>
    <t>https://engineer061.github.io/cv.pdf</t>
  </si>
  <si>
    <t>https://huggingface.co/engineer061</t>
  </si>
  <si>
    <t>https://github.com/engineer061/primary-repo</t>
  </si>
  <si>
    <t>https://github.com/engineer061/repo1;https://github.com/engineer061/repo2</t>
  </si>
  <si>
    <t>https://engineer061.edu</t>
  </si>
  <si>
    <t>https://engineer061.dev</t>
  </si>
  <si>
    <t>https://engineer061.dev/portfolio</t>
  </si>
  <si>
    <t>https://openalex.org/AENGINEER061</t>
  </si>
  <si>
    <t>https://semanticscholar.org/author/engineer-061</t>
  </si>
  <si>
    <t>https://scholar.google.com/citations?user=engineer061</t>
  </si>
  <si>
    <t>https://orcid.org/0000-0002-100061</t>
  </si>
  <si>
    <t>https://arxiv.org/a/engineer_061.html</t>
  </si>
  <si>
    <t>2025-12-19T08:51:26.778638</t>
  </si>
  <si>
    <t>engineer-062</t>
  </si>
  <si>
    <t>Placeholder AI Engineer 062</t>
  </si>
  <si>
    <t>engineer062@example.com</t>
  </si>
  <si>
    <t>https://linkedin.com/in/engineer-062</t>
  </si>
  <si>
    <t>https://github.com/engineer062</t>
  </si>
  <si>
    <t>https://engineer062.github.io</t>
  </si>
  <si>
    <t>https://engineer062.github.io/cv.pdf</t>
  </si>
  <si>
    <t>https://huggingface.co/engineer062</t>
  </si>
  <si>
    <t>https://github.com/engineer062/primary-repo</t>
  </si>
  <si>
    <t>https://github.com/engineer062/repo1;https://github.com/engineer062/repo2</t>
  </si>
  <si>
    <t>https://engineer062.edu</t>
  </si>
  <si>
    <t>https://engineer062.dev</t>
  </si>
  <si>
    <t>https://engineer062.dev/portfolio</t>
  </si>
  <si>
    <t>https://openalex.org/AENGINEER062</t>
  </si>
  <si>
    <t>https://semanticscholar.org/author/engineer-062</t>
  </si>
  <si>
    <t>https://scholar.google.com/citations?user=engineer062</t>
  </si>
  <si>
    <t>https://orcid.org/0000-0002-100062</t>
  </si>
  <si>
    <t>https://arxiv.org/a/engineer_062.html</t>
  </si>
  <si>
    <t>2025-12-19T08:51:26.778651</t>
  </si>
  <si>
    <t>engineer-063</t>
  </si>
  <si>
    <t>Placeholder AI Engineer 063</t>
  </si>
  <si>
    <t>engineer063@example.com</t>
  </si>
  <si>
    <t>https://linkedin.com/in/engineer-063</t>
  </si>
  <si>
    <t>https://github.com/engineer063</t>
  </si>
  <si>
    <t>https://engineer063.github.io</t>
  </si>
  <si>
    <t>https://engineer063.github.io/cv.pdf</t>
  </si>
  <si>
    <t>https://huggingface.co/engineer063</t>
  </si>
  <si>
    <t>https://github.com/engineer063/primary-repo</t>
  </si>
  <si>
    <t>https://github.com/engineer063/repo1;https://github.com/engineer063/repo2</t>
  </si>
  <si>
    <t>https://engineer063.edu</t>
  </si>
  <si>
    <t>https://engineer063.dev</t>
  </si>
  <si>
    <t>https://engineer063.dev/portfolio</t>
  </si>
  <si>
    <t>https://openalex.org/AENGINEER063</t>
  </si>
  <si>
    <t>https://semanticscholar.org/author/engineer-063</t>
  </si>
  <si>
    <t>https://scholar.google.com/citations?user=engineer063</t>
  </si>
  <si>
    <t>https://orcid.org/0000-0002-100063</t>
  </si>
  <si>
    <t>https://arxiv.org/a/engineer_063.html</t>
  </si>
  <si>
    <t>2025-12-19T08:51:26.778661</t>
  </si>
  <si>
    <t>engineer-064</t>
  </si>
  <si>
    <t>Placeholder AI Engineer 064</t>
  </si>
  <si>
    <t>engineer064@example.com</t>
  </si>
  <si>
    <t>https://linkedin.com/in/engineer-064</t>
  </si>
  <si>
    <t>https://github.com/engineer064</t>
  </si>
  <si>
    <t>https://engineer064.github.io</t>
  </si>
  <si>
    <t>https://engineer064.github.io/cv.pdf</t>
  </si>
  <si>
    <t>https://huggingface.co/engineer064</t>
  </si>
  <si>
    <t>https://github.com/engineer064/primary-repo</t>
  </si>
  <si>
    <t>https://github.com/engineer064/repo1;https://github.com/engineer064/repo2</t>
  </si>
  <si>
    <t>https://engineer064.edu</t>
  </si>
  <si>
    <t>https://engineer064.dev</t>
  </si>
  <si>
    <t>https://engineer064.dev/portfolio</t>
  </si>
  <si>
    <t>https://openalex.org/AENGINEER064</t>
  </si>
  <si>
    <t>https://semanticscholar.org/author/engineer-064</t>
  </si>
  <si>
    <t>https://scholar.google.com/citations?user=engineer064</t>
  </si>
  <si>
    <t>https://orcid.org/0000-0002-100064</t>
  </si>
  <si>
    <t>https://arxiv.org/a/engineer_064.html</t>
  </si>
  <si>
    <t>2025-12-19T08:51:26.778674</t>
  </si>
  <si>
    <t>engineer-065</t>
  </si>
  <si>
    <t>Placeholder AI Engineer 065</t>
  </si>
  <si>
    <t>engineer065@example.com</t>
  </si>
  <si>
    <t>https://linkedin.com/in/engineer-065</t>
  </si>
  <si>
    <t>https://github.com/engineer065</t>
  </si>
  <si>
    <t>https://engineer065.github.io</t>
  </si>
  <si>
    <t>https://engineer065.github.io/cv.pdf</t>
  </si>
  <si>
    <t>https://huggingface.co/engineer065</t>
  </si>
  <si>
    <t>https://github.com/engineer065/primary-repo</t>
  </si>
  <si>
    <t>https://github.com/engineer065/repo1;https://github.com/engineer065/repo2</t>
  </si>
  <si>
    <t>https://engineer065.edu</t>
  </si>
  <si>
    <t>https://engineer065.dev</t>
  </si>
  <si>
    <t>https://engineer065.dev/portfolio</t>
  </si>
  <si>
    <t>https://openalex.org/AENGINEER065</t>
  </si>
  <si>
    <t>https://semanticscholar.org/author/engineer-065</t>
  </si>
  <si>
    <t>https://scholar.google.com/citations?user=engineer065</t>
  </si>
  <si>
    <t>https://orcid.org/0000-0002-100065</t>
  </si>
  <si>
    <t>https://arxiv.org/a/engineer_065.html</t>
  </si>
  <si>
    <t>2025-12-19T08:51:26.778685</t>
  </si>
  <si>
    <t>engineer-066</t>
  </si>
  <si>
    <t>Placeholder AI Engineer 066</t>
  </si>
  <si>
    <t>engineer066@example.com</t>
  </si>
  <si>
    <t>https://linkedin.com/in/engineer-066</t>
  </si>
  <si>
    <t>https://github.com/engineer066</t>
  </si>
  <si>
    <t>https://engineer066.github.io</t>
  </si>
  <si>
    <t>https://engineer066.github.io/cv.pdf</t>
  </si>
  <si>
    <t>https://huggingface.co/engineer066</t>
  </si>
  <si>
    <t>https://github.com/engineer066/primary-repo</t>
  </si>
  <si>
    <t>https://github.com/engineer066/repo1;https://github.com/engineer066/repo2</t>
  </si>
  <si>
    <t>https://engineer066.edu</t>
  </si>
  <si>
    <t>https://engineer066.dev</t>
  </si>
  <si>
    <t>https://engineer066.dev/portfolio</t>
  </si>
  <si>
    <t>https://openalex.org/AENGINEER066</t>
  </si>
  <si>
    <t>https://semanticscholar.org/author/engineer-066</t>
  </si>
  <si>
    <t>https://scholar.google.com/citations?user=engineer066</t>
  </si>
  <si>
    <t>https://orcid.org/0000-0002-100066</t>
  </si>
  <si>
    <t>https://arxiv.org/a/engineer_066.html</t>
  </si>
  <si>
    <t>2025-12-19T08:51:26.778696</t>
  </si>
  <si>
    <t>engineer-067</t>
  </si>
  <si>
    <t>Placeholder AI Engineer 067</t>
  </si>
  <si>
    <t>engineer067@example.com</t>
  </si>
  <si>
    <t>https://linkedin.com/in/engineer-067</t>
  </si>
  <si>
    <t>https://github.com/engineer067</t>
  </si>
  <si>
    <t>https://engineer067.github.io</t>
  </si>
  <si>
    <t>https://engineer067.github.io/cv.pdf</t>
  </si>
  <si>
    <t>https://huggingface.co/engineer067</t>
  </si>
  <si>
    <t>https://github.com/engineer067/primary-repo</t>
  </si>
  <si>
    <t>https://github.com/engineer067/repo1;https://github.com/engineer067/repo2</t>
  </si>
  <si>
    <t>https://engineer067.edu</t>
  </si>
  <si>
    <t>https://engineer067.dev</t>
  </si>
  <si>
    <t>https://engineer067.dev/portfolio</t>
  </si>
  <si>
    <t>https://openalex.org/AENGINEER067</t>
  </si>
  <si>
    <t>https://semanticscholar.org/author/engineer-067</t>
  </si>
  <si>
    <t>https://scholar.google.com/citations?user=engineer067</t>
  </si>
  <si>
    <t>https://orcid.org/0000-0002-100067</t>
  </si>
  <si>
    <t>https://arxiv.org/a/engineer_067.html</t>
  </si>
  <si>
    <t>2025-12-19T08:51:26.778707</t>
  </si>
  <si>
    <t>engineer-068</t>
  </si>
  <si>
    <t>Placeholder AI Engineer 068</t>
  </si>
  <si>
    <t>engineer068@example.com</t>
  </si>
  <si>
    <t>https://linkedin.com/in/engineer-068</t>
  </si>
  <si>
    <t>https://github.com/engineer068</t>
  </si>
  <si>
    <t>https://engineer068.github.io</t>
  </si>
  <si>
    <t>https://engineer068.github.io/cv.pdf</t>
  </si>
  <si>
    <t>https://huggingface.co/engineer068</t>
  </si>
  <si>
    <t>https://github.com/engineer068/primary-repo</t>
  </si>
  <si>
    <t>https://github.com/engineer068/repo1;https://github.com/engineer068/repo2</t>
  </si>
  <si>
    <t>https://engineer068.edu</t>
  </si>
  <si>
    <t>https://engineer068.dev</t>
  </si>
  <si>
    <t>https://engineer068.dev/portfolio</t>
  </si>
  <si>
    <t>https://openalex.org/AENGINEER068</t>
  </si>
  <si>
    <t>https://semanticscholar.org/author/engineer-068</t>
  </si>
  <si>
    <t>https://scholar.google.com/citations?user=engineer068</t>
  </si>
  <si>
    <t>https://orcid.org/0000-0002-100068</t>
  </si>
  <si>
    <t>https://arxiv.org/a/engineer_068.html</t>
  </si>
  <si>
    <t>2025-12-19T08:51:26.778719</t>
  </si>
  <si>
    <t>engineer-069</t>
  </si>
  <si>
    <t>Placeholder AI Engineer 069</t>
  </si>
  <si>
    <t>engineer069@example.com</t>
  </si>
  <si>
    <t>https://linkedin.com/in/engineer-069</t>
  </si>
  <si>
    <t>https://github.com/engineer069</t>
  </si>
  <si>
    <t>https://engineer069.github.io</t>
  </si>
  <si>
    <t>https://engineer069.github.io/cv.pdf</t>
  </si>
  <si>
    <t>https://huggingface.co/engineer069</t>
  </si>
  <si>
    <t>https://github.com/engineer069/primary-repo</t>
  </si>
  <si>
    <t>https://github.com/engineer069/repo1;https://github.com/engineer069/repo2</t>
  </si>
  <si>
    <t>https://engineer069.edu</t>
  </si>
  <si>
    <t>https://engineer069.dev</t>
  </si>
  <si>
    <t>https://engineer069.dev/portfolio</t>
  </si>
  <si>
    <t>https://openalex.org/AENGINEER069</t>
  </si>
  <si>
    <t>https://semanticscholar.org/author/engineer-069</t>
  </si>
  <si>
    <t>https://scholar.google.com/citations?user=engineer069</t>
  </si>
  <si>
    <t>https://orcid.org/0000-0002-100069</t>
  </si>
  <si>
    <t>https://arxiv.org/a/engineer_069.html</t>
  </si>
  <si>
    <t>2025-12-19T08:51:26.778732</t>
  </si>
  <si>
    <t>engineer-070</t>
  </si>
  <si>
    <t>Placeholder AI Engineer 070</t>
  </si>
  <si>
    <t>engineer070@example.com</t>
  </si>
  <si>
    <t>https://linkedin.com/in/engineer-070</t>
  </si>
  <si>
    <t>https://github.com/engineer070</t>
  </si>
  <si>
    <t>https://engineer070.github.io</t>
  </si>
  <si>
    <t>https://engineer070.github.io/cv.pdf</t>
  </si>
  <si>
    <t>https://huggingface.co/engineer070</t>
  </si>
  <si>
    <t>https://github.com/engineer070/primary-repo</t>
  </si>
  <si>
    <t>https://github.com/engineer070/repo1;https://github.com/engineer070/repo2</t>
  </si>
  <si>
    <t>https://engineer070.edu</t>
  </si>
  <si>
    <t>https://engineer070.dev</t>
  </si>
  <si>
    <t>https://engineer070.dev/portfolio</t>
  </si>
  <si>
    <t>https://openalex.org/AENGINEER070</t>
  </si>
  <si>
    <t>https://semanticscholar.org/author/engineer-070</t>
  </si>
  <si>
    <t>https://scholar.google.com/citations?user=engineer070</t>
  </si>
  <si>
    <t>https://orcid.org/0000-0002-100070</t>
  </si>
  <si>
    <t>https://arxiv.org/a/engineer_070.html</t>
  </si>
  <si>
    <t>2025-12-19T08:51:26.778745</t>
  </si>
  <si>
    <t>engineer-071</t>
  </si>
  <si>
    <t>Placeholder AI Engineer 071</t>
  </si>
  <si>
    <t>engineer071@example.com</t>
  </si>
  <si>
    <t>https://linkedin.com/in/engineer-071</t>
  </si>
  <si>
    <t>https://github.com/engineer071</t>
  </si>
  <si>
    <t>https://engineer071.github.io</t>
  </si>
  <si>
    <t>https://engineer071.github.io/cv.pdf</t>
  </si>
  <si>
    <t>https://huggingface.co/engineer071</t>
  </si>
  <si>
    <t>https://github.com/engineer071/primary-repo</t>
  </si>
  <si>
    <t>https://github.com/engineer071/repo1;https://github.com/engineer071/repo2</t>
  </si>
  <si>
    <t>https://engineer071.edu</t>
  </si>
  <si>
    <t>https://engineer071.dev</t>
  </si>
  <si>
    <t>https://engineer071.dev/portfolio</t>
  </si>
  <si>
    <t>https://openalex.org/AENGINEER071</t>
  </si>
  <si>
    <t>https://semanticscholar.org/author/engineer-071</t>
  </si>
  <si>
    <t>https://scholar.google.com/citations?user=engineer071</t>
  </si>
  <si>
    <t>https://orcid.org/0000-0002-100071</t>
  </si>
  <si>
    <t>https://arxiv.org/a/engineer_071.html</t>
  </si>
  <si>
    <t>2025-12-19T08:51:26.778756</t>
  </si>
  <si>
    <t>engineer-072</t>
  </si>
  <si>
    <t>Placeholder AI Engineer 072</t>
  </si>
  <si>
    <t>engineer072@example.com</t>
  </si>
  <si>
    <t>https://linkedin.com/in/engineer-072</t>
  </si>
  <si>
    <t>https://github.com/engineer072</t>
  </si>
  <si>
    <t>https://engineer072.github.io</t>
  </si>
  <si>
    <t>https://engineer072.github.io/cv.pdf</t>
  </si>
  <si>
    <t>https://huggingface.co/engineer072</t>
  </si>
  <si>
    <t>https://github.com/engineer072/primary-repo</t>
  </si>
  <si>
    <t>https://github.com/engineer072/repo1;https://github.com/engineer072/repo2</t>
  </si>
  <si>
    <t>https://engineer072.edu</t>
  </si>
  <si>
    <t>https://engineer072.dev</t>
  </si>
  <si>
    <t>https://engineer072.dev/portfolio</t>
  </si>
  <si>
    <t>https://openalex.org/AENGINEER072</t>
  </si>
  <si>
    <t>https://semanticscholar.org/author/engineer-072</t>
  </si>
  <si>
    <t>https://scholar.google.com/citations?user=engineer072</t>
  </si>
  <si>
    <t>https://orcid.org/0000-0002-100072</t>
  </si>
  <si>
    <t>https://arxiv.org/a/engineer_072.html</t>
  </si>
  <si>
    <t>2025-12-19T08:51:26.778766</t>
  </si>
  <si>
    <t>engineer-073</t>
  </si>
  <si>
    <t>Placeholder AI Engineer 073</t>
  </si>
  <si>
    <t>engineer073@example.com</t>
  </si>
  <si>
    <t>https://linkedin.com/in/engineer-073</t>
  </si>
  <si>
    <t>https://github.com/engineer073</t>
  </si>
  <si>
    <t>https://engineer073.github.io</t>
  </si>
  <si>
    <t>https://engineer073.github.io/cv.pdf</t>
  </si>
  <si>
    <t>https://huggingface.co/engineer073</t>
  </si>
  <si>
    <t>https://github.com/engineer073/primary-repo</t>
  </si>
  <si>
    <t>https://github.com/engineer073/repo1;https://github.com/engineer073/repo2</t>
  </si>
  <si>
    <t>https://engineer073.edu</t>
  </si>
  <si>
    <t>https://engineer073.dev</t>
  </si>
  <si>
    <t>https://engineer073.dev/portfolio</t>
  </si>
  <si>
    <t>https://openalex.org/AENGINEER073</t>
  </si>
  <si>
    <t>https://semanticscholar.org/author/engineer-073</t>
  </si>
  <si>
    <t>https://scholar.google.com/citations?user=engineer073</t>
  </si>
  <si>
    <t>https://orcid.org/0000-0002-100073</t>
  </si>
  <si>
    <t>https://arxiv.org/a/engineer_073.html</t>
  </si>
  <si>
    <t>2025-12-19T08:51:26.778785</t>
  </si>
  <si>
    <t>engineer-074</t>
  </si>
  <si>
    <t>Placeholder AI Engineer 074</t>
  </si>
  <si>
    <t>engineer074@example.com</t>
  </si>
  <si>
    <t>https://linkedin.com/in/engineer-074</t>
  </si>
  <si>
    <t>https://github.com/engineer074</t>
  </si>
  <si>
    <t>https://engineer074.github.io</t>
  </si>
  <si>
    <t>https://engineer074.github.io/cv.pdf</t>
  </si>
  <si>
    <t>https://huggingface.co/engineer074</t>
  </si>
  <si>
    <t>https://github.com/engineer074/primary-repo</t>
  </si>
  <si>
    <t>https://github.com/engineer074/repo1;https://github.com/engineer074/repo2</t>
  </si>
  <si>
    <t>https://engineer074.edu</t>
  </si>
  <si>
    <t>https://engineer074.dev</t>
  </si>
  <si>
    <t>https://engineer074.dev/portfolio</t>
  </si>
  <si>
    <t>https://openalex.org/AENGINEER074</t>
  </si>
  <si>
    <t>https://semanticscholar.org/author/engineer-074</t>
  </si>
  <si>
    <t>https://scholar.google.com/citations?user=engineer074</t>
  </si>
  <si>
    <t>https://orcid.org/0000-0002-100074</t>
  </si>
  <si>
    <t>https://arxiv.org/a/engineer_074.html</t>
  </si>
  <si>
    <t>2025-12-19T08:51:26.778798</t>
  </si>
  <si>
    <t>engineer-075</t>
  </si>
  <si>
    <t>Placeholder AI Engineer 075</t>
  </si>
  <si>
    <t>engineer075@example.com</t>
  </si>
  <si>
    <t>https://linkedin.com/in/engineer-075</t>
  </si>
  <si>
    <t>https://github.com/engineer075</t>
  </si>
  <si>
    <t>https://engineer075.github.io</t>
  </si>
  <si>
    <t>https://engineer075.github.io/cv.pdf</t>
  </si>
  <si>
    <t>https://huggingface.co/engineer075</t>
  </si>
  <si>
    <t>https://github.com/engineer075/primary-repo</t>
  </si>
  <si>
    <t>https://github.com/engineer075/repo1;https://github.com/engineer075/repo2</t>
  </si>
  <si>
    <t>https://engineer075.edu</t>
  </si>
  <si>
    <t>https://engineer075.dev</t>
  </si>
  <si>
    <t>https://engineer075.dev/portfolio</t>
  </si>
  <si>
    <t>https://openalex.org/AENGINEER075</t>
  </si>
  <si>
    <t>https://semanticscholar.org/author/engineer-075</t>
  </si>
  <si>
    <t>https://scholar.google.com/citations?user=engineer075</t>
  </si>
  <si>
    <t>https://orcid.org/0000-0002-100075</t>
  </si>
  <si>
    <t>https://arxiv.org/a/engineer_075.html</t>
  </si>
  <si>
    <t>2025-12-19T08:51:26.778809</t>
  </si>
  <si>
    <t>engineer-076</t>
  </si>
  <si>
    <t>Placeholder AI Engineer 076</t>
  </si>
  <si>
    <t>engineer076@example.com</t>
  </si>
  <si>
    <t>https://linkedin.com/in/engineer-076</t>
  </si>
  <si>
    <t>https://github.com/engineer076</t>
  </si>
  <si>
    <t>https://engineer076.github.io</t>
  </si>
  <si>
    <t>https://engineer076.github.io/cv.pdf</t>
  </si>
  <si>
    <t>https://huggingface.co/engineer076</t>
  </si>
  <si>
    <t>https://github.com/engineer076/primary-repo</t>
  </si>
  <si>
    <t>https://github.com/engineer076/repo1;https://github.com/engineer076/repo2</t>
  </si>
  <si>
    <t>https://engineer076.edu</t>
  </si>
  <si>
    <t>https://engineer076.dev</t>
  </si>
  <si>
    <t>https://engineer076.dev/portfolio</t>
  </si>
  <si>
    <t>https://openalex.org/AENGINEER076</t>
  </si>
  <si>
    <t>https://semanticscholar.org/author/engineer-076</t>
  </si>
  <si>
    <t>https://scholar.google.com/citations?user=engineer076</t>
  </si>
  <si>
    <t>https://orcid.org/0000-0002-100076</t>
  </si>
  <si>
    <t>https://arxiv.org/a/engineer_076.html</t>
  </si>
  <si>
    <t>2025-12-19T08:51:26.778820</t>
  </si>
  <si>
    <t>engineer-077</t>
  </si>
  <si>
    <t>Placeholder AI Engineer 077</t>
  </si>
  <si>
    <t>engineer077@example.com</t>
  </si>
  <si>
    <t>https://linkedin.com/in/engineer-077</t>
  </si>
  <si>
    <t>https://github.com/engineer077</t>
  </si>
  <si>
    <t>https://engineer077.github.io</t>
  </si>
  <si>
    <t>https://engineer077.github.io/cv.pdf</t>
  </si>
  <si>
    <t>https://huggingface.co/engineer077</t>
  </si>
  <si>
    <t>https://github.com/engineer077/primary-repo</t>
  </si>
  <si>
    <t>https://github.com/engineer077/repo1;https://github.com/engineer077/repo2</t>
  </si>
  <si>
    <t>https://engineer077.edu</t>
  </si>
  <si>
    <t>https://engineer077.dev</t>
  </si>
  <si>
    <t>https://engineer077.dev/portfolio</t>
  </si>
  <si>
    <t>https://openalex.org/AENGINEER077</t>
  </si>
  <si>
    <t>https://semanticscholar.org/author/engineer-077</t>
  </si>
  <si>
    <t>https://scholar.google.com/citations?user=engineer077</t>
  </si>
  <si>
    <t>https://orcid.org/0000-0002-100077</t>
  </si>
  <si>
    <t>https://arxiv.org/a/engineer_077.html</t>
  </si>
  <si>
    <t>2025-12-19T08:51:26.778830</t>
  </si>
  <si>
    <t>engineer-078</t>
  </si>
  <si>
    <t>Placeholder AI Engineer 078</t>
  </si>
  <si>
    <t>engineer078@example.com</t>
  </si>
  <si>
    <t>https://linkedin.com/in/engineer-078</t>
  </si>
  <si>
    <t>https://github.com/engineer078</t>
  </si>
  <si>
    <t>https://engineer078.github.io</t>
  </si>
  <si>
    <t>https://engineer078.github.io/cv.pdf</t>
  </si>
  <si>
    <t>https://huggingface.co/engineer078</t>
  </si>
  <si>
    <t>https://github.com/engineer078/primary-repo</t>
  </si>
  <si>
    <t>https://github.com/engineer078/repo1;https://github.com/engineer078/repo2</t>
  </si>
  <si>
    <t>https://engineer078.edu</t>
  </si>
  <si>
    <t>https://engineer078.dev</t>
  </si>
  <si>
    <t>https://engineer078.dev/portfolio</t>
  </si>
  <si>
    <t>https://openalex.org/AENGINEER078</t>
  </si>
  <si>
    <t>https://semanticscholar.org/author/engineer-078</t>
  </si>
  <si>
    <t>https://scholar.google.com/citations?user=engineer078</t>
  </si>
  <si>
    <t>https://orcid.org/0000-0002-100078</t>
  </si>
  <si>
    <t>https://arxiv.org/a/engineer_078.html</t>
  </si>
  <si>
    <t>2025-12-19T08:51:26.778844</t>
  </si>
  <si>
    <t>engineer-079</t>
  </si>
  <si>
    <t>Placeholder AI Engineer 079</t>
  </si>
  <si>
    <t>engineer079@example.com</t>
  </si>
  <si>
    <t>https://linkedin.com/in/engineer-079</t>
  </si>
  <si>
    <t>https://github.com/engineer079</t>
  </si>
  <si>
    <t>https://engineer079.github.io</t>
  </si>
  <si>
    <t>https://engineer079.github.io/cv.pdf</t>
  </si>
  <si>
    <t>https://huggingface.co/engineer079</t>
  </si>
  <si>
    <t>https://github.com/engineer079/primary-repo</t>
  </si>
  <si>
    <t>https://github.com/engineer079/repo1;https://github.com/engineer079/repo2</t>
  </si>
  <si>
    <t>https://engineer079.edu</t>
  </si>
  <si>
    <t>https://engineer079.dev</t>
  </si>
  <si>
    <t>https://engineer079.dev/portfolio</t>
  </si>
  <si>
    <t>https://openalex.org/AENGINEER079</t>
  </si>
  <si>
    <t>https://semanticscholar.org/author/engineer-079</t>
  </si>
  <si>
    <t>https://scholar.google.com/citations?user=engineer079</t>
  </si>
  <si>
    <t>https://orcid.org/0000-0002-100079</t>
  </si>
  <si>
    <t>https://arxiv.org/a/engineer_079.html</t>
  </si>
  <si>
    <t>2025-12-19T08:51:26.778854</t>
  </si>
  <si>
    <t>engineer-080</t>
  </si>
  <si>
    <t>Placeholder AI Engineer 080</t>
  </si>
  <si>
    <t>engineer080@example.com</t>
  </si>
  <si>
    <t>https://linkedin.com/in/engineer-080</t>
  </si>
  <si>
    <t>https://github.com/engineer080</t>
  </si>
  <si>
    <t>https://engineer080.github.io</t>
  </si>
  <si>
    <t>https://engineer080.github.io/cv.pdf</t>
  </si>
  <si>
    <t>https://huggingface.co/engineer080</t>
  </si>
  <si>
    <t>https://github.com/engineer080/primary-repo</t>
  </si>
  <si>
    <t>https://github.com/engineer080/repo1;https://github.com/engineer080/repo2</t>
  </si>
  <si>
    <t>https://engineer080.edu</t>
  </si>
  <si>
    <t>https://engineer080.dev</t>
  </si>
  <si>
    <t>https://engineer080.dev/portfolio</t>
  </si>
  <si>
    <t>https://openalex.org/AENGINEER080</t>
  </si>
  <si>
    <t>https://semanticscholar.org/author/engineer-080</t>
  </si>
  <si>
    <t>https://scholar.google.com/citations?user=engineer080</t>
  </si>
  <si>
    <t>https://orcid.org/0000-0002-100080</t>
  </si>
  <si>
    <t>https://arxiv.org/a/engineer_080.html</t>
  </si>
  <si>
    <t>2025-12-19T08:51:26.778865</t>
  </si>
  <si>
    <t>engineer-081</t>
  </si>
  <si>
    <t>Placeholder AI Engineer 081</t>
  </si>
  <si>
    <t>engineer081@example.com</t>
  </si>
  <si>
    <t>https://linkedin.com/in/engineer-081</t>
  </si>
  <si>
    <t>https://github.com/engineer081</t>
  </si>
  <si>
    <t>https://engineer081.github.io</t>
  </si>
  <si>
    <t>https://engineer081.github.io/cv.pdf</t>
  </si>
  <si>
    <t>https://huggingface.co/engineer081</t>
  </si>
  <si>
    <t>https://github.com/engineer081/primary-repo</t>
  </si>
  <si>
    <t>https://github.com/engineer081/repo1;https://github.com/engineer081/repo2</t>
  </si>
  <si>
    <t>https://engineer081.edu</t>
  </si>
  <si>
    <t>https://engineer081.dev</t>
  </si>
  <si>
    <t>https://engineer081.dev/portfolio</t>
  </si>
  <si>
    <t>https://openalex.org/AENGINEER081</t>
  </si>
  <si>
    <t>https://semanticscholar.org/author/engineer-081</t>
  </si>
  <si>
    <t>https://scholar.google.com/citations?user=engineer081</t>
  </si>
  <si>
    <t>https://orcid.org/0000-0002-100081</t>
  </si>
  <si>
    <t>https://arxiv.org/a/engineer_081.html</t>
  </si>
  <si>
    <t>2025-12-19T08:51:26.778876</t>
  </si>
  <si>
    <t>engineer-082</t>
  </si>
  <si>
    <t>Placeholder AI Engineer 082</t>
  </si>
  <si>
    <t>engineer082@example.com</t>
  </si>
  <si>
    <t>https://linkedin.com/in/engineer-082</t>
  </si>
  <si>
    <t>https://github.com/engineer082</t>
  </si>
  <si>
    <t>https://engineer082.github.io</t>
  </si>
  <si>
    <t>https://engineer082.github.io/cv.pdf</t>
  </si>
  <si>
    <t>https://huggingface.co/engineer082</t>
  </si>
  <si>
    <t>https://github.com/engineer082/primary-repo</t>
  </si>
  <si>
    <t>https://github.com/engineer082/repo1;https://github.com/engineer082/repo2</t>
  </si>
  <si>
    <t>https://engineer082.edu</t>
  </si>
  <si>
    <t>https://engineer082.dev</t>
  </si>
  <si>
    <t>https://engineer082.dev/portfolio</t>
  </si>
  <si>
    <t>https://openalex.org/AENGINEER082</t>
  </si>
  <si>
    <t>https://semanticscholar.org/author/engineer-082</t>
  </si>
  <si>
    <t>https://scholar.google.com/citations?user=engineer082</t>
  </si>
  <si>
    <t>https://orcid.org/0000-0002-100082</t>
  </si>
  <si>
    <t>https://arxiv.org/a/engineer_082.html</t>
  </si>
  <si>
    <t>2025-12-19T08:51:26.778889</t>
  </si>
  <si>
    <t>engineer-083</t>
  </si>
  <si>
    <t>Placeholder AI Engineer 083</t>
  </si>
  <si>
    <t>engineer083@example.com</t>
  </si>
  <si>
    <t>https://linkedin.com/in/engineer-083</t>
  </si>
  <si>
    <t>https://github.com/engineer083</t>
  </si>
  <si>
    <t>https://engineer083.github.io</t>
  </si>
  <si>
    <t>https://engineer083.github.io/cv.pdf</t>
  </si>
  <si>
    <t>https://huggingface.co/engineer083</t>
  </si>
  <si>
    <t>https://github.com/engineer083/primary-repo</t>
  </si>
  <si>
    <t>https://github.com/engineer083/repo1;https://github.com/engineer083/repo2</t>
  </si>
  <si>
    <t>https://engineer083.edu</t>
  </si>
  <si>
    <t>https://engineer083.dev</t>
  </si>
  <si>
    <t>https://engineer083.dev/portfolio</t>
  </si>
  <si>
    <t>https://openalex.org/AENGINEER083</t>
  </si>
  <si>
    <t>https://semanticscholar.org/author/engineer-083</t>
  </si>
  <si>
    <t>https://scholar.google.com/citations?user=engineer083</t>
  </si>
  <si>
    <t>https://orcid.org/0000-0002-100083</t>
  </si>
  <si>
    <t>https://arxiv.org/a/engineer_083.html</t>
  </si>
  <si>
    <t>2025-12-19T08:51:26.778904</t>
  </si>
  <si>
    <t>engineer-084</t>
  </si>
  <si>
    <t>Placeholder AI Engineer 084</t>
  </si>
  <si>
    <t>engineer084@example.com</t>
  </si>
  <si>
    <t>https://linkedin.com/in/engineer-084</t>
  </si>
  <si>
    <t>https://github.com/engineer084</t>
  </si>
  <si>
    <t>https://engineer084.github.io</t>
  </si>
  <si>
    <t>https://engineer084.github.io/cv.pdf</t>
  </si>
  <si>
    <t>https://huggingface.co/engineer084</t>
  </si>
  <si>
    <t>https://github.com/engineer084/primary-repo</t>
  </si>
  <si>
    <t>https://github.com/engineer084/repo1;https://github.com/engineer084/repo2</t>
  </si>
  <si>
    <t>https://engineer084.edu</t>
  </si>
  <si>
    <t>https://engineer084.dev</t>
  </si>
  <si>
    <t>https://engineer084.dev/portfolio</t>
  </si>
  <si>
    <t>https://openalex.org/AENGINEER084</t>
  </si>
  <si>
    <t>https://semanticscholar.org/author/engineer-084</t>
  </si>
  <si>
    <t>https://scholar.google.com/citations?user=engineer084</t>
  </si>
  <si>
    <t>https://orcid.org/0000-0002-100084</t>
  </si>
  <si>
    <t>https://arxiv.org/a/engineer_084.html</t>
  </si>
  <si>
    <t>2025-12-19T08:51:26.778914</t>
  </si>
  <si>
    <t>engineer-085</t>
  </si>
  <si>
    <t>Placeholder AI Engineer 085</t>
  </si>
  <si>
    <t>engineer085@example.com</t>
  </si>
  <si>
    <t>https://linkedin.com/in/engineer-085</t>
  </si>
  <si>
    <t>https://github.com/engineer085</t>
  </si>
  <si>
    <t>https://engineer085.github.io</t>
  </si>
  <si>
    <t>https://engineer085.github.io/cv.pdf</t>
  </si>
  <si>
    <t>https://huggingface.co/engineer085</t>
  </si>
  <si>
    <t>https://github.com/engineer085/primary-repo</t>
  </si>
  <si>
    <t>https://github.com/engineer085/repo1;https://github.com/engineer085/repo2</t>
  </si>
  <si>
    <t>https://engineer085.edu</t>
  </si>
  <si>
    <t>https://engineer085.dev</t>
  </si>
  <si>
    <t>https://engineer085.dev/portfolio</t>
  </si>
  <si>
    <t>https://openalex.org/AENGINEER085</t>
  </si>
  <si>
    <t>https://semanticscholar.org/author/engineer-085</t>
  </si>
  <si>
    <t>https://scholar.google.com/citations?user=engineer085</t>
  </si>
  <si>
    <t>https://orcid.org/0000-0002-100085</t>
  </si>
  <si>
    <t>https://arxiv.org/a/engineer_085.html</t>
  </si>
  <si>
    <t>2025-12-19T08:51:26.778925</t>
  </si>
  <si>
    <t>engineer-086</t>
  </si>
  <si>
    <t>Placeholder AI Engineer 086</t>
  </si>
  <si>
    <t>engineer086@example.com</t>
  </si>
  <si>
    <t>https://linkedin.com/in/engineer-086</t>
  </si>
  <si>
    <t>https://github.com/engineer086</t>
  </si>
  <si>
    <t>https://engineer086.github.io</t>
  </si>
  <si>
    <t>https://engineer086.github.io/cv.pdf</t>
  </si>
  <si>
    <t>https://huggingface.co/engineer086</t>
  </si>
  <si>
    <t>https://github.com/engineer086/primary-repo</t>
  </si>
  <si>
    <t>https://github.com/engineer086/repo1;https://github.com/engineer086/repo2</t>
  </si>
  <si>
    <t>https://engineer086.edu</t>
  </si>
  <si>
    <t>https://engineer086.dev</t>
  </si>
  <si>
    <t>https://engineer086.dev/portfolio</t>
  </si>
  <si>
    <t>https://openalex.org/AENGINEER086</t>
  </si>
  <si>
    <t>https://semanticscholar.org/author/engineer-086</t>
  </si>
  <si>
    <t>https://scholar.google.com/citations?user=engineer086</t>
  </si>
  <si>
    <t>https://orcid.org/0000-0002-100086</t>
  </si>
  <si>
    <t>https://arxiv.org/a/engineer_086.html</t>
  </si>
  <si>
    <t>2025-12-19T08:51:26.778936</t>
  </si>
  <si>
    <t>engineer-087</t>
  </si>
  <si>
    <t>Placeholder AI Engineer 087</t>
  </si>
  <si>
    <t>engineer087@example.com</t>
  </si>
  <si>
    <t>https://linkedin.com/in/engineer-087</t>
  </si>
  <si>
    <t>https://github.com/engineer087</t>
  </si>
  <si>
    <t>https://engineer087.github.io</t>
  </si>
  <si>
    <t>https://engineer087.github.io/cv.pdf</t>
  </si>
  <si>
    <t>https://huggingface.co/engineer087</t>
  </si>
  <si>
    <t>https://github.com/engineer087/primary-repo</t>
  </si>
  <si>
    <t>https://github.com/engineer087/repo1;https://github.com/engineer087/repo2</t>
  </si>
  <si>
    <t>https://engineer087.edu</t>
  </si>
  <si>
    <t>https://engineer087.dev</t>
  </si>
  <si>
    <t>https://engineer087.dev/portfolio</t>
  </si>
  <si>
    <t>https://openalex.org/AENGINEER087</t>
  </si>
  <si>
    <t>https://semanticscholar.org/author/engineer-087</t>
  </si>
  <si>
    <t>https://scholar.google.com/citations?user=engineer087</t>
  </si>
  <si>
    <t>https://orcid.org/0000-0002-100087</t>
  </si>
  <si>
    <t>https://arxiv.org/a/engineer_087.html</t>
  </si>
  <si>
    <t>2025-12-19T08:51:26.778946</t>
  </si>
  <si>
    <t>engineer-088</t>
  </si>
  <si>
    <t>Placeholder AI Engineer 088</t>
  </si>
  <si>
    <t>engineer088@example.com</t>
  </si>
  <si>
    <t>https://linkedin.com/in/engineer-088</t>
  </si>
  <si>
    <t>https://github.com/engineer088</t>
  </si>
  <si>
    <t>https://engineer088.github.io</t>
  </si>
  <si>
    <t>https://engineer088.github.io/cv.pdf</t>
  </si>
  <si>
    <t>https://huggingface.co/engineer088</t>
  </si>
  <si>
    <t>https://github.com/engineer088/primary-repo</t>
  </si>
  <si>
    <t>https://github.com/engineer088/repo1;https://github.com/engineer088/repo2</t>
  </si>
  <si>
    <t>https://engineer088.edu</t>
  </si>
  <si>
    <t>https://engineer088.dev</t>
  </si>
  <si>
    <t>https://engineer088.dev/portfolio</t>
  </si>
  <si>
    <t>https://openalex.org/AENGINEER088</t>
  </si>
  <si>
    <t>https://semanticscholar.org/author/engineer-088</t>
  </si>
  <si>
    <t>https://scholar.google.com/citations?user=engineer088</t>
  </si>
  <si>
    <t>https://orcid.org/0000-0002-100088</t>
  </si>
  <si>
    <t>https://arxiv.org/a/engineer_088.html</t>
  </si>
  <si>
    <t>2025-12-19T08:51:26.778959</t>
  </si>
  <si>
    <t>engineer-089</t>
  </si>
  <si>
    <t>Placeholder AI Engineer 089</t>
  </si>
  <si>
    <t>engineer089@example.com</t>
  </si>
  <si>
    <t>https://linkedin.com/in/engineer-089</t>
  </si>
  <si>
    <t>https://github.com/engineer089</t>
  </si>
  <si>
    <t>https://engineer089.github.io</t>
  </si>
  <si>
    <t>https://engineer089.github.io/cv.pdf</t>
  </si>
  <si>
    <t>https://huggingface.co/engineer089</t>
  </si>
  <si>
    <t>https://github.com/engineer089/primary-repo</t>
  </si>
  <si>
    <t>https://github.com/engineer089/repo1;https://github.com/engineer089/repo2</t>
  </si>
  <si>
    <t>https://engineer089.edu</t>
  </si>
  <si>
    <t>https://engineer089.dev</t>
  </si>
  <si>
    <t>https://engineer089.dev/portfolio</t>
  </si>
  <si>
    <t>https://openalex.org/AENGINEER089</t>
  </si>
  <si>
    <t>https://semanticscholar.org/author/engineer-089</t>
  </si>
  <si>
    <t>https://scholar.google.com/citations?user=engineer089</t>
  </si>
  <si>
    <t>https://orcid.org/0000-0002-100089</t>
  </si>
  <si>
    <t>https://arxiv.org/a/engineer_089.html</t>
  </si>
  <si>
    <t>2025-12-19T08:51:26.778970</t>
  </si>
  <si>
    <t>engineer-090</t>
  </si>
  <si>
    <t>Placeholder AI Engineer 090</t>
  </si>
  <si>
    <t>engineer090@example.com</t>
  </si>
  <si>
    <t>https://linkedin.com/in/engineer-090</t>
  </si>
  <si>
    <t>https://github.com/engineer090</t>
  </si>
  <si>
    <t>https://engineer090.github.io</t>
  </si>
  <si>
    <t>https://engineer090.github.io/cv.pdf</t>
  </si>
  <si>
    <t>https://huggingface.co/engineer090</t>
  </si>
  <si>
    <t>https://github.com/engineer090/primary-repo</t>
  </si>
  <si>
    <t>https://github.com/engineer090/repo1;https://github.com/engineer090/repo2</t>
  </si>
  <si>
    <t>https://engineer090.edu</t>
  </si>
  <si>
    <t>https://engineer090.dev</t>
  </si>
  <si>
    <t>https://engineer090.dev/portfolio</t>
  </si>
  <si>
    <t>https://openalex.org/AENGINEER090</t>
  </si>
  <si>
    <t>https://semanticscholar.org/author/engineer-090</t>
  </si>
  <si>
    <t>https://scholar.google.com/citations?user=engineer090</t>
  </si>
  <si>
    <t>https://orcid.org/0000-0002-100090</t>
  </si>
  <si>
    <t>https://arxiv.org/a/engineer_090.html</t>
  </si>
  <si>
    <t>2025-12-19T08:51:26.778981</t>
  </si>
  <si>
    <t>engineer-091</t>
  </si>
  <si>
    <t>Placeholder AI Engineer 091</t>
  </si>
  <si>
    <t>engineer091@example.com</t>
  </si>
  <si>
    <t>https://linkedin.com/in/engineer-091</t>
  </si>
  <si>
    <t>https://github.com/engineer091</t>
  </si>
  <si>
    <t>https://engineer091.github.io</t>
  </si>
  <si>
    <t>https://engineer091.github.io/cv.pdf</t>
  </si>
  <si>
    <t>https://huggingface.co/engineer091</t>
  </si>
  <si>
    <t>https://github.com/engineer091/primary-repo</t>
  </si>
  <si>
    <t>https://github.com/engineer091/repo1;https://github.com/engineer091/repo2</t>
  </si>
  <si>
    <t>https://engineer091.edu</t>
  </si>
  <si>
    <t>https://engineer091.dev</t>
  </si>
  <si>
    <t>https://engineer091.dev/portfolio</t>
  </si>
  <si>
    <t>https://openalex.org/AENGINEER091</t>
  </si>
  <si>
    <t>https://semanticscholar.org/author/engineer-091</t>
  </si>
  <si>
    <t>https://scholar.google.com/citations?user=engineer091</t>
  </si>
  <si>
    <t>https://orcid.org/0000-0002-100091</t>
  </si>
  <si>
    <t>https://arxiv.org/a/engineer_091.html</t>
  </si>
  <si>
    <t>2025-12-19T08:51:26.778991</t>
  </si>
  <si>
    <t>engineer-092</t>
  </si>
  <si>
    <t>Placeholder AI Engineer 092</t>
  </si>
  <si>
    <t>engineer092@example.com</t>
  </si>
  <si>
    <t>https://linkedin.com/in/engineer-092</t>
  </si>
  <si>
    <t>https://github.com/engineer092</t>
  </si>
  <si>
    <t>https://engineer092.github.io</t>
  </si>
  <si>
    <t>https://engineer092.github.io/cv.pdf</t>
  </si>
  <si>
    <t>https://huggingface.co/engineer092</t>
  </si>
  <si>
    <t>https://github.com/engineer092/primary-repo</t>
  </si>
  <si>
    <t>https://github.com/engineer092/repo1;https://github.com/engineer092/repo2</t>
  </si>
  <si>
    <t>https://engineer092.edu</t>
  </si>
  <si>
    <t>https://engineer092.dev</t>
  </si>
  <si>
    <t>https://engineer092.dev/portfolio</t>
  </si>
  <si>
    <t>https://openalex.org/AENGINEER092</t>
  </si>
  <si>
    <t>https://semanticscholar.org/author/engineer-092</t>
  </si>
  <si>
    <t>https://scholar.google.com/citations?user=engineer092</t>
  </si>
  <si>
    <t>https://orcid.org/0000-0002-100092</t>
  </si>
  <si>
    <t>https://arxiv.org/a/engineer_092.html</t>
  </si>
  <si>
    <t>2025-12-19T08:51:26.779005</t>
  </si>
  <si>
    <t>engineer-093</t>
  </si>
  <si>
    <t>Placeholder AI Engineer 093</t>
  </si>
  <si>
    <t>engineer093@example.com</t>
  </si>
  <si>
    <t>https://linkedin.com/in/engineer-093</t>
  </si>
  <si>
    <t>https://github.com/engineer093</t>
  </si>
  <si>
    <t>https://engineer093.github.io</t>
  </si>
  <si>
    <t>https://engineer093.github.io/cv.pdf</t>
  </si>
  <si>
    <t>https://huggingface.co/engineer093</t>
  </si>
  <si>
    <t>https://github.com/engineer093/primary-repo</t>
  </si>
  <si>
    <t>https://github.com/engineer093/repo1;https://github.com/engineer093/repo2</t>
  </si>
  <si>
    <t>https://engineer093.edu</t>
  </si>
  <si>
    <t>https://engineer093.dev</t>
  </si>
  <si>
    <t>https://engineer093.dev/portfolio</t>
  </si>
  <si>
    <t>https://openalex.org/AENGINEER093</t>
  </si>
  <si>
    <t>https://semanticscholar.org/author/engineer-093</t>
  </si>
  <si>
    <t>https://scholar.google.com/citations?user=engineer093</t>
  </si>
  <si>
    <t>https://orcid.org/0000-0002-100093</t>
  </si>
  <si>
    <t>https://arxiv.org/a/engineer_093.html</t>
  </si>
  <si>
    <t>2025-12-19T08:51:26.779016</t>
  </si>
  <si>
    <t>engineer-094</t>
  </si>
  <si>
    <t>Placeholder AI Engineer 094</t>
  </si>
  <si>
    <t>engineer094@example.com</t>
  </si>
  <si>
    <t>https://linkedin.com/in/engineer-094</t>
  </si>
  <si>
    <t>https://github.com/engineer094</t>
  </si>
  <si>
    <t>https://engineer094.github.io</t>
  </si>
  <si>
    <t>https://engineer094.github.io/cv.pdf</t>
  </si>
  <si>
    <t>https://huggingface.co/engineer094</t>
  </si>
  <si>
    <t>https://github.com/engineer094/primary-repo</t>
  </si>
  <si>
    <t>https://github.com/engineer094/repo1;https://github.com/engineer094/repo2</t>
  </si>
  <si>
    <t>https://engineer094.edu</t>
  </si>
  <si>
    <t>https://engineer094.dev</t>
  </si>
  <si>
    <t>https://engineer094.dev/portfolio</t>
  </si>
  <si>
    <t>https://openalex.org/AENGINEER094</t>
  </si>
  <si>
    <t>https://semanticscholar.org/author/engineer-094</t>
  </si>
  <si>
    <t>https://scholar.google.com/citations?user=engineer094</t>
  </si>
  <si>
    <t>https://orcid.org/0000-0002-100094</t>
  </si>
  <si>
    <t>https://arxiv.org/a/engineer_094.html</t>
  </si>
  <si>
    <t>2025-12-19T08:51:26.779030</t>
  </si>
  <si>
    <t>engineer-095</t>
  </si>
  <si>
    <t>Placeholder AI Engineer 095</t>
  </si>
  <si>
    <t>engineer095@example.com</t>
  </si>
  <si>
    <t>https://linkedin.com/in/engineer-095</t>
  </si>
  <si>
    <t>https://github.com/engineer095</t>
  </si>
  <si>
    <t>https://engineer095.github.io</t>
  </si>
  <si>
    <t>https://engineer095.github.io/cv.pdf</t>
  </si>
  <si>
    <t>https://huggingface.co/engineer095</t>
  </si>
  <si>
    <t>https://github.com/engineer095/primary-repo</t>
  </si>
  <si>
    <t>https://github.com/engineer095/repo1;https://github.com/engineer095/repo2</t>
  </si>
  <si>
    <t>https://engineer095.edu</t>
  </si>
  <si>
    <t>https://engineer095.dev</t>
  </si>
  <si>
    <t>https://engineer095.dev/portfolio</t>
  </si>
  <si>
    <t>https://openalex.org/AENGINEER095</t>
  </si>
  <si>
    <t>https://semanticscholar.org/author/engineer-095</t>
  </si>
  <si>
    <t>https://scholar.google.com/citations?user=engineer095</t>
  </si>
  <si>
    <t>https://orcid.org/0000-0002-100095</t>
  </si>
  <si>
    <t>https://arxiv.org/a/engineer_095.html</t>
  </si>
  <si>
    <t>2025-12-19T08:51:26.779040</t>
  </si>
  <si>
    <t>engineer-096</t>
  </si>
  <si>
    <t>Placeholder AI Engineer 096</t>
  </si>
  <si>
    <t>engineer096@example.com</t>
  </si>
  <si>
    <t>https://linkedin.com/in/engineer-096</t>
  </si>
  <si>
    <t>https://github.com/engineer096</t>
  </si>
  <si>
    <t>https://engineer096.github.io</t>
  </si>
  <si>
    <t>https://engineer096.github.io/cv.pdf</t>
  </si>
  <si>
    <t>https://huggingface.co/engineer096</t>
  </si>
  <si>
    <t>https://github.com/engineer096/primary-repo</t>
  </si>
  <si>
    <t>https://github.com/engineer096/repo1;https://github.com/engineer096/repo2</t>
  </si>
  <si>
    <t>https://engineer096.edu</t>
  </si>
  <si>
    <t>https://engineer096.dev</t>
  </si>
  <si>
    <t>https://engineer096.dev/portfolio</t>
  </si>
  <si>
    <t>https://openalex.org/AENGINEER096</t>
  </si>
  <si>
    <t>https://semanticscholar.org/author/engineer-096</t>
  </si>
  <si>
    <t>https://scholar.google.com/citations?user=engineer096</t>
  </si>
  <si>
    <t>https://orcid.org/0000-0002-100096</t>
  </si>
  <si>
    <t>https://arxiv.org/a/engineer_096.html</t>
  </si>
  <si>
    <t>2025-12-19T08:51:26.779051</t>
  </si>
  <si>
    <t>engineer-097</t>
  </si>
  <si>
    <t>Placeholder AI Engineer 097</t>
  </si>
  <si>
    <t>engineer097@example.com</t>
  </si>
  <si>
    <t>https://linkedin.com/in/engineer-097</t>
  </si>
  <si>
    <t>https://github.com/engineer097</t>
  </si>
  <si>
    <t>https://engineer097.github.io</t>
  </si>
  <si>
    <t>https://engineer097.github.io/cv.pdf</t>
  </si>
  <si>
    <t>https://huggingface.co/engineer097</t>
  </si>
  <si>
    <t>https://github.com/engineer097/primary-repo</t>
  </si>
  <si>
    <t>https://github.com/engineer097/repo1;https://github.com/engineer097/repo2</t>
  </si>
  <si>
    <t>https://engineer097.edu</t>
  </si>
  <si>
    <t>https://engineer097.dev</t>
  </si>
  <si>
    <t>https://engineer097.dev/portfolio</t>
  </si>
  <si>
    <t>https://openalex.org/AENGINEER097</t>
  </si>
  <si>
    <t>https://semanticscholar.org/author/engineer-097</t>
  </si>
  <si>
    <t>https://scholar.google.com/citations?user=engineer097</t>
  </si>
  <si>
    <t>https://orcid.org/0000-0002-100097</t>
  </si>
  <si>
    <t>https://arxiv.org/a/engineer_097.html</t>
  </si>
  <si>
    <t>2025-12-19T08:51:26.779065</t>
  </si>
  <si>
    <t>engineer-098</t>
  </si>
  <si>
    <t>Placeholder AI Engineer 098</t>
  </si>
  <si>
    <t>engineer098@example.com</t>
  </si>
  <si>
    <t>https://linkedin.com/in/engineer-098</t>
  </si>
  <si>
    <t>https://github.com/engineer098</t>
  </si>
  <si>
    <t>https://engineer098.github.io</t>
  </si>
  <si>
    <t>https://engineer098.github.io/cv.pdf</t>
  </si>
  <si>
    <t>https://huggingface.co/engineer098</t>
  </si>
  <si>
    <t>https://github.com/engineer098/primary-repo</t>
  </si>
  <si>
    <t>https://github.com/engineer098/repo1;https://github.com/engineer098/repo2</t>
  </si>
  <si>
    <t>https://engineer098.edu</t>
  </si>
  <si>
    <t>https://engineer098.dev</t>
  </si>
  <si>
    <t>https://engineer098.dev/portfolio</t>
  </si>
  <si>
    <t>https://openalex.org/AENGINEER098</t>
  </si>
  <si>
    <t>https://semanticscholar.org/author/engineer-098</t>
  </si>
  <si>
    <t>https://scholar.google.com/citations?user=engineer098</t>
  </si>
  <si>
    <t>https://orcid.org/0000-0002-100098</t>
  </si>
  <si>
    <t>https://arxiv.org/a/engineer_098.html</t>
  </si>
  <si>
    <t>2025-12-19T08:51:26.779076</t>
  </si>
  <si>
    <t>engineer-099</t>
  </si>
  <si>
    <t>Placeholder AI Engineer 099</t>
  </si>
  <si>
    <t>engineer099@example.com</t>
  </si>
  <si>
    <t>https://linkedin.com/in/engineer-099</t>
  </si>
  <si>
    <t>https://github.com/engineer099</t>
  </si>
  <si>
    <t>https://engineer099.github.io</t>
  </si>
  <si>
    <t>https://engineer099.github.io/cv.pdf</t>
  </si>
  <si>
    <t>https://huggingface.co/engineer099</t>
  </si>
  <si>
    <t>https://github.com/engineer099/primary-repo</t>
  </si>
  <si>
    <t>https://github.com/engineer099/repo1;https://github.com/engineer099/repo2</t>
  </si>
  <si>
    <t>https://engineer099.edu</t>
  </si>
  <si>
    <t>https://engineer099.dev</t>
  </si>
  <si>
    <t>https://engineer099.dev/portfolio</t>
  </si>
  <si>
    <t>https://openalex.org/AENGINEER099</t>
  </si>
  <si>
    <t>https://semanticscholar.org/author/engineer-099</t>
  </si>
  <si>
    <t>https://scholar.google.com/citations?user=engineer099</t>
  </si>
  <si>
    <t>https://orcid.org/0000-0002-100099</t>
  </si>
  <si>
    <t>https://arxiv.org/a/engineer_099.html</t>
  </si>
  <si>
    <t>2025-12-19T08:51:26.779087</t>
  </si>
  <si>
    <t>engineer-100</t>
  </si>
  <si>
    <t>Placeholder AI Engineer 100</t>
  </si>
  <si>
    <t>engineer100@example.com</t>
  </si>
  <si>
    <t>https://linkedin.com/in/engineer-100</t>
  </si>
  <si>
    <t>https://github.com/engineer100</t>
  </si>
  <si>
    <t>https://engineer100.github.io</t>
  </si>
  <si>
    <t>https://engineer100.github.io/cv.pdf</t>
  </si>
  <si>
    <t>https://huggingface.co/engineer100</t>
  </si>
  <si>
    <t>https://github.com/engineer100/primary-repo</t>
  </si>
  <si>
    <t>https://github.com/engineer100/repo1;https://github.com/engineer100/repo2</t>
  </si>
  <si>
    <t>https://engineer100.edu</t>
  </si>
  <si>
    <t>https://engineer100.dev</t>
  </si>
  <si>
    <t>https://engineer100.dev/portfolio</t>
  </si>
  <si>
    <t>https://openalex.org/AENGINEER100</t>
  </si>
  <si>
    <t>https://semanticscholar.org/author/engineer-100</t>
  </si>
  <si>
    <t>https://scholar.google.com/citations?user=engineer100</t>
  </si>
  <si>
    <t>https://orcid.org/0000-0002-100100</t>
  </si>
  <si>
    <t>https://arxiv.org/a/engineer_100.html</t>
  </si>
  <si>
    <t>2025-12-19T08:51:26.779098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</si>
</sst>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3"/>
      <color theme="0"/>
      <name val="Aptos Narrow"/>
      <scheme val="minor"/>
    </font>
    <font>
      <b/>
      <sz val="13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432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19" fillId="0" borderId="0" xfId="0" applyFont="1"/>
    <xf numFmtId="0" fontId="18" fillId="33" borderId="0" xfId="0" applyFont="1" applyFill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F1A0-F3E6-DC45-B465-6B1571074616}">
  <dimension ref="A1:AI101"/>
  <sheetViews>
    <sheetView tabSelected="1" workbookViewId="0">
      <selection activeCell="AI5" sqref="A5:AI5"/>
    </sheetView>
  </sheetViews>
  <sheetFormatPr baseColWidth="10" defaultRowHeight="18" x14ac:dyDescent="0.25"/>
  <cols>
    <col min="1" max="1" width="18.6640625" style="2" customWidth="1"/>
    <col min="2" max="2" width="37" style="2" customWidth="1"/>
    <col min="3" max="3" width="28.5" style="2" customWidth="1"/>
    <col min="4" max="4" width="22.83203125" style="2" customWidth="1"/>
    <col min="5" max="5" width="38.83203125" style="2" customWidth="1"/>
    <col min="6" max="6" width="18.5" style="2" customWidth="1"/>
    <col min="7" max="7" width="28.5" style="2" customWidth="1"/>
    <col min="8" max="8" width="31" style="2" customWidth="1"/>
    <col min="9" max="9" width="39.83203125" style="2" customWidth="1"/>
    <col min="10" max="10" width="41.6640625" style="2" customWidth="1"/>
    <col min="11" max="11" width="33.33203125" style="2" customWidth="1"/>
    <col min="12" max="12" width="48.5" style="2" customWidth="1"/>
    <col min="13" max="13" width="39.1640625" style="2" customWidth="1"/>
    <col min="14" max="14" width="49" style="2" customWidth="1"/>
    <col min="15" max="15" width="82.5" style="2" customWidth="1"/>
    <col min="16" max="16" width="28.33203125" style="2" customWidth="1"/>
    <col min="17" max="17" width="33.1640625" style="2" customWidth="1"/>
    <col min="18" max="18" width="38.1640625" style="2" customWidth="1"/>
    <col min="19" max="19" width="44.33203125" style="2" customWidth="1"/>
    <col min="20" max="20" width="51.6640625" style="2" customWidth="1"/>
    <col min="21" max="21" width="57.33203125" style="2" customWidth="1"/>
    <col min="22" max="22" width="42" style="2" customWidth="1"/>
    <col min="23" max="23" width="43.33203125" style="2" customWidth="1"/>
    <col min="24" max="24" width="20.33203125" style="2" customWidth="1"/>
    <col min="25" max="25" width="10.83203125" style="4"/>
    <col min="26" max="26" width="18.33203125" style="4" customWidth="1"/>
    <col min="27" max="27" width="19.6640625" style="4" customWidth="1"/>
    <col min="28" max="28" width="20" style="4" customWidth="1"/>
    <col min="29" max="29" width="10.83203125" style="4"/>
    <col min="30" max="30" width="21.33203125" style="4" customWidth="1"/>
    <col min="31" max="31" width="18.1640625" style="2" customWidth="1"/>
    <col min="32" max="32" width="32.6640625" style="2" customWidth="1"/>
    <col min="33" max="33" width="34.5" style="2" customWidth="1"/>
    <col min="34" max="34" width="36.5" style="2" customWidth="1"/>
    <col min="35" max="35" width="62" style="2" customWidth="1"/>
    <col min="36" max="16384" width="10.83203125" style="2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>
        <f>1-555-1001</f>
        <v>-1555</v>
      </c>
      <c r="G2" s="2" t="b">
        <v>1</v>
      </c>
      <c r="H2" s="2" t="b">
        <v>1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54</v>
      </c>
      <c r="X2" s="2" t="s">
        <v>37</v>
      </c>
      <c r="Y2" s="4" t="s">
        <v>55</v>
      </c>
      <c r="Z2" s="4" t="s">
        <v>56</v>
      </c>
      <c r="AA2" s="4" t="s">
        <v>57</v>
      </c>
      <c r="AB2" s="4">
        <v>1012</v>
      </c>
      <c r="AC2" s="4">
        <v>21</v>
      </c>
      <c r="AD2" s="4">
        <v>51</v>
      </c>
      <c r="AE2" s="2" t="s">
        <v>58</v>
      </c>
      <c r="AF2" s="2" t="s">
        <v>59</v>
      </c>
      <c r="AG2" s="2" t="s">
        <v>60</v>
      </c>
      <c r="AH2" s="2" t="s">
        <v>61</v>
      </c>
      <c r="AI2" s="2" t="s">
        <v>62</v>
      </c>
    </row>
    <row r="3" spans="1:35" x14ac:dyDescent="0.25">
      <c r="A3" s="2" t="s">
        <v>63</v>
      </c>
      <c r="B3" s="2" t="s">
        <v>64</v>
      </c>
      <c r="C3" s="2" t="s">
        <v>37</v>
      </c>
      <c r="D3" s="2" t="s">
        <v>38</v>
      </c>
      <c r="E3" s="2" t="s">
        <v>65</v>
      </c>
      <c r="F3" s="2">
        <f>1-555-1002</f>
        <v>-1556</v>
      </c>
      <c r="G3" s="2" t="b">
        <v>1</v>
      </c>
      <c r="H3" s="2" t="b">
        <v>1</v>
      </c>
      <c r="I3" s="2" t="s">
        <v>66</v>
      </c>
      <c r="J3" s="2" t="s">
        <v>67</v>
      </c>
      <c r="K3" s="2" t="s">
        <v>68</v>
      </c>
      <c r="L3" s="2" t="s">
        <v>69</v>
      </c>
      <c r="M3" s="2" t="s">
        <v>70</v>
      </c>
      <c r="N3" s="2" t="s">
        <v>71</v>
      </c>
      <c r="O3" s="2" t="s">
        <v>72</v>
      </c>
      <c r="P3" s="2" t="s">
        <v>73</v>
      </c>
      <c r="Q3" s="2" t="s">
        <v>74</v>
      </c>
      <c r="R3" s="2" t="s">
        <v>75</v>
      </c>
      <c r="S3" s="2" t="s">
        <v>76</v>
      </c>
      <c r="T3" s="2" t="s">
        <v>77</v>
      </c>
      <c r="U3" s="2" t="s">
        <v>78</v>
      </c>
      <c r="V3" s="2" t="s">
        <v>79</v>
      </c>
      <c r="W3" s="2" t="s">
        <v>80</v>
      </c>
      <c r="X3" s="2" t="s">
        <v>37</v>
      </c>
      <c r="Y3" s="4" t="s">
        <v>55</v>
      </c>
      <c r="Z3" s="4" t="s">
        <v>56</v>
      </c>
      <c r="AA3" s="4" t="s">
        <v>57</v>
      </c>
      <c r="AB3" s="4">
        <v>1024</v>
      </c>
      <c r="AC3" s="4">
        <v>22</v>
      </c>
      <c r="AD3" s="4">
        <v>52</v>
      </c>
      <c r="AE3" s="2" t="s">
        <v>58</v>
      </c>
      <c r="AF3" s="2" t="s">
        <v>59</v>
      </c>
      <c r="AG3" s="2" t="s">
        <v>60</v>
      </c>
      <c r="AH3" s="2" t="s">
        <v>81</v>
      </c>
      <c r="AI3" s="2" t="s">
        <v>62</v>
      </c>
    </row>
    <row r="4" spans="1:35" x14ac:dyDescent="0.25">
      <c r="A4" s="2" t="s">
        <v>82</v>
      </c>
      <c r="B4" s="2" t="s">
        <v>83</v>
      </c>
      <c r="C4" s="2" t="s">
        <v>37</v>
      </c>
      <c r="D4" s="2" t="s">
        <v>38</v>
      </c>
      <c r="E4" s="2" t="s">
        <v>84</v>
      </c>
      <c r="F4" s="2">
        <f>1-555-1003</f>
        <v>-1557</v>
      </c>
      <c r="G4" s="2" t="b">
        <v>1</v>
      </c>
      <c r="H4" s="2" t="b">
        <v>1</v>
      </c>
      <c r="I4" s="2" t="s">
        <v>85</v>
      </c>
      <c r="J4" s="2" t="s">
        <v>86</v>
      </c>
      <c r="K4" s="2" t="s">
        <v>87</v>
      </c>
      <c r="L4" s="2" t="s">
        <v>88</v>
      </c>
      <c r="M4" s="2" t="s">
        <v>89</v>
      </c>
      <c r="N4" s="2" t="s">
        <v>90</v>
      </c>
      <c r="O4" s="2" t="s">
        <v>91</v>
      </c>
      <c r="P4" s="2" t="s">
        <v>92</v>
      </c>
      <c r="Q4" s="2" t="s">
        <v>93</v>
      </c>
      <c r="R4" s="2" t="s">
        <v>94</v>
      </c>
      <c r="S4" s="2" t="s">
        <v>95</v>
      </c>
      <c r="T4" s="2" t="s">
        <v>96</v>
      </c>
      <c r="U4" s="2" t="s">
        <v>97</v>
      </c>
      <c r="V4" s="2" t="s">
        <v>98</v>
      </c>
      <c r="W4" s="2" t="s">
        <v>99</v>
      </c>
      <c r="X4" s="2" t="s">
        <v>37</v>
      </c>
      <c r="Y4" s="4" t="s">
        <v>55</v>
      </c>
      <c r="Z4" s="4" t="s">
        <v>56</v>
      </c>
      <c r="AA4" s="4" t="s">
        <v>57</v>
      </c>
      <c r="AB4" s="4">
        <v>1036</v>
      </c>
      <c r="AC4" s="4">
        <v>23</v>
      </c>
      <c r="AD4" s="4">
        <v>53</v>
      </c>
      <c r="AE4" s="2" t="s">
        <v>58</v>
      </c>
      <c r="AF4" s="2" t="s">
        <v>59</v>
      </c>
      <c r="AG4" s="2" t="s">
        <v>60</v>
      </c>
      <c r="AH4" s="2" t="s">
        <v>100</v>
      </c>
      <c r="AI4" s="2" t="s">
        <v>62</v>
      </c>
    </row>
    <row r="5" spans="1:35" x14ac:dyDescent="0.25">
      <c r="A5" s="2" t="s">
        <v>101</v>
      </c>
      <c r="B5" s="2" t="s">
        <v>102</v>
      </c>
      <c r="C5" s="2" t="s">
        <v>37</v>
      </c>
      <c r="D5" s="2" t="s">
        <v>38</v>
      </c>
      <c r="E5" s="2" t="s">
        <v>103</v>
      </c>
      <c r="F5" s="2">
        <f>1-555-1004</f>
        <v>-1558</v>
      </c>
      <c r="G5" s="2" t="b">
        <v>1</v>
      </c>
      <c r="H5" s="2" t="b">
        <v>1</v>
      </c>
      <c r="I5" s="2" t="s">
        <v>104</v>
      </c>
      <c r="J5" s="2" t="s">
        <v>105</v>
      </c>
      <c r="K5" s="2" t="s">
        <v>106</v>
      </c>
      <c r="L5" s="2" t="s">
        <v>107</v>
      </c>
      <c r="M5" s="2" t="s">
        <v>108</v>
      </c>
      <c r="N5" s="2" t="s">
        <v>109</v>
      </c>
      <c r="O5" s="2" t="s">
        <v>110</v>
      </c>
      <c r="P5" s="2" t="s">
        <v>111</v>
      </c>
      <c r="Q5" s="2" t="s">
        <v>112</v>
      </c>
      <c r="R5" s="2" t="s">
        <v>113</v>
      </c>
      <c r="S5" s="2" t="s">
        <v>114</v>
      </c>
      <c r="T5" s="2" t="s">
        <v>115</v>
      </c>
      <c r="U5" s="2" t="s">
        <v>116</v>
      </c>
      <c r="V5" s="2" t="s">
        <v>117</v>
      </c>
      <c r="W5" s="2" t="s">
        <v>118</v>
      </c>
      <c r="X5" s="2" t="s">
        <v>37</v>
      </c>
      <c r="Y5" s="4" t="s">
        <v>55</v>
      </c>
      <c r="Z5" s="4" t="s">
        <v>56</v>
      </c>
      <c r="AA5" s="4" t="s">
        <v>57</v>
      </c>
      <c r="AB5" s="4">
        <v>1048</v>
      </c>
      <c r="AC5" s="4">
        <v>24</v>
      </c>
      <c r="AD5" s="4">
        <v>54</v>
      </c>
      <c r="AE5" s="2" t="s">
        <v>58</v>
      </c>
      <c r="AF5" s="2" t="s">
        <v>59</v>
      </c>
      <c r="AG5" s="2" t="s">
        <v>60</v>
      </c>
      <c r="AH5" s="2" t="s">
        <v>119</v>
      </c>
      <c r="AI5" s="2" t="s">
        <v>62</v>
      </c>
    </row>
    <row r="6" spans="1:35" x14ac:dyDescent="0.25">
      <c r="A6" s="2" t="s">
        <v>120</v>
      </c>
      <c r="B6" s="2" t="s">
        <v>121</v>
      </c>
      <c r="C6" s="2" t="s">
        <v>37</v>
      </c>
      <c r="D6" s="2" t="s">
        <v>38</v>
      </c>
      <c r="E6" s="2" t="s">
        <v>122</v>
      </c>
      <c r="F6" s="2">
        <f>1-555-1005</f>
        <v>-1559</v>
      </c>
      <c r="G6" s="2" t="b">
        <v>1</v>
      </c>
      <c r="H6" s="2" t="b">
        <v>1</v>
      </c>
      <c r="I6" s="2" t="s">
        <v>123</v>
      </c>
      <c r="J6" s="2" t="s">
        <v>124</v>
      </c>
      <c r="K6" s="2" t="s">
        <v>125</v>
      </c>
      <c r="L6" s="2" t="s">
        <v>126</v>
      </c>
      <c r="M6" s="2" t="s">
        <v>127</v>
      </c>
      <c r="N6" s="2" t="s">
        <v>128</v>
      </c>
      <c r="O6" s="2" t="s">
        <v>129</v>
      </c>
      <c r="P6" s="2" t="s">
        <v>130</v>
      </c>
      <c r="Q6" s="2" t="s">
        <v>131</v>
      </c>
      <c r="R6" s="2" t="s">
        <v>132</v>
      </c>
      <c r="S6" s="2" t="s">
        <v>133</v>
      </c>
      <c r="T6" s="2" t="s">
        <v>134</v>
      </c>
      <c r="U6" s="2" t="s">
        <v>135</v>
      </c>
      <c r="V6" s="2" t="s">
        <v>136</v>
      </c>
      <c r="W6" s="2" t="s">
        <v>137</v>
      </c>
      <c r="X6" s="2" t="s">
        <v>37</v>
      </c>
      <c r="Y6" s="4" t="s">
        <v>55</v>
      </c>
      <c r="Z6" s="4" t="s">
        <v>56</v>
      </c>
      <c r="AA6" s="4" t="s">
        <v>57</v>
      </c>
      <c r="AB6" s="4">
        <v>1060</v>
      </c>
      <c r="AC6" s="4">
        <v>25</v>
      </c>
      <c r="AD6" s="4">
        <v>55</v>
      </c>
      <c r="AE6" s="2" t="s">
        <v>58</v>
      </c>
      <c r="AF6" s="2" t="s">
        <v>59</v>
      </c>
      <c r="AG6" s="2" t="s">
        <v>60</v>
      </c>
      <c r="AH6" s="2" t="s">
        <v>138</v>
      </c>
      <c r="AI6" s="2" t="s">
        <v>62</v>
      </c>
    </row>
    <row r="7" spans="1:35" x14ac:dyDescent="0.25">
      <c r="A7" s="2" t="s">
        <v>139</v>
      </c>
      <c r="B7" s="2" t="s">
        <v>140</v>
      </c>
      <c r="C7" s="2" t="s">
        <v>37</v>
      </c>
      <c r="D7" s="2" t="s">
        <v>38</v>
      </c>
      <c r="E7" s="2" t="s">
        <v>141</v>
      </c>
      <c r="F7" s="2">
        <f>1-555-1006</f>
        <v>-1560</v>
      </c>
      <c r="G7" s="2" t="b">
        <v>1</v>
      </c>
      <c r="H7" s="2" t="b">
        <v>1</v>
      </c>
      <c r="I7" s="2" t="s">
        <v>142</v>
      </c>
      <c r="J7" s="2" t="s">
        <v>143</v>
      </c>
      <c r="K7" s="2" t="s">
        <v>144</v>
      </c>
      <c r="L7" s="2" t="s">
        <v>145</v>
      </c>
      <c r="M7" s="2" t="s">
        <v>146</v>
      </c>
      <c r="N7" s="2" t="s">
        <v>147</v>
      </c>
      <c r="O7" s="2" t="s">
        <v>148</v>
      </c>
      <c r="P7" s="2" t="s">
        <v>149</v>
      </c>
      <c r="Q7" s="2" t="s">
        <v>150</v>
      </c>
      <c r="R7" s="2" t="s">
        <v>151</v>
      </c>
      <c r="S7" s="2" t="s">
        <v>152</v>
      </c>
      <c r="T7" s="2" t="s">
        <v>153</v>
      </c>
      <c r="U7" s="2" t="s">
        <v>154</v>
      </c>
      <c r="V7" s="2" t="s">
        <v>155</v>
      </c>
      <c r="W7" s="2" t="s">
        <v>156</v>
      </c>
      <c r="X7" s="2" t="s">
        <v>37</v>
      </c>
      <c r="Y7" s="4" t="s">
        <v>55</v>
      </c>
      <c r="Z7" s="4" t="s">
        <v>56</v>
      </c>
      <c r="AA7" s="4" t="s">
        <v>57</v>
      </c>
      <c r="AB7" s="4">
        <v>1072</v>
      </c>
      <c r="AC7" s="4">
        <v>26</v>
      </c>
      <c r="AD7" s="4">
        <v>56</v>
      </c>
      <c r="AE7" s="2" t="s">
        <v>58</v>
      </c>
      <c r="AF7" s="2" t="s">
        <v>59</v>
      </c>
      <c r="AG7" s="2" t="s">
        <v>60</v>
      </c>
      <c r="AH7" s="2" t="s">
        <v>157</v>
      </c>
      <c r="AI7" s="2" t="s">
        <v>62</v>
      </c>
    </row>
    <row r="8" spans="1:35" x14ac:dyDescent="0.25">
      <c r="A8" s="2" t="s">
        <v>158</v>
      </c>
      <c r="B8" s="2" t="s">
        <v>159</v>
      </c>
      <c r="C8" s="2" t="s">
        <v>37</v>
      </c>
      <c r="D8" s="2" t="s">
        <v>38</v>
      </c>
      <c r="E8" s="2" t="s">
        <v>160</v>
      </c>
      <c r="F8" s="2">
        <f>1-555-1007</f>
        <v>-1561</v>
      </c>
      <c r="G8" s="2" t="b">
        <v>1</v>
      </c>
      <c r="H8" s="2" t="b">
        <v>1</v>
      </c>
      <c r="I8" s="2" t="s">
        <v>161</v>
      </c>
      <c r="J8" s="2" t="s">
        <v>162</v>
      </c>
      <c r="K8" s="2" t="s">
        <v>163</v>
      </c>
      <c r="L8" s="2" t="s">
        <v>164</v>
      </c>
      <c r="M8" s="2" t="s">
        <v>165</v>
      </c>
      <c r="N8" s="2" t="s">
        <v>166</v>
      </c>
      <c r="O8" s="2" t="s">
        <v>167</v>
      </c>
      <c r="P8" s="2" t="s">
        <v>168</v>
      </c>
      <c r="Q8" s="2" t="s">
        <v>169</v>
      </c>
      <c r="R8" s="2" t="s">
        <v>170</v>
      </c>
      <c r="S8" s="2" t="s">
        <v>171</v>
      </c>
      <c r="T8" s="2" t="s">
        <v>172</v>
      </c>
      <c r="U8" s="2" t="s">
        <v>173</v>
      </c>
      <c r="V8" s="2" t="s">
        <v>174</v>
      </c>
      <c r="W8" s="2" t="s">
        <v>175</v>
      </c>
      <c r="X8" s="2" t="s">
        <v>37</v>
      </c>
      <c r="Y8" s="4" t="s">
        <v>55</v>
      </c>
      <c r="Z8" s="4" t="s">
        <v>56</v>
      </c>
      <c r="AA8" s="4" t="s">
        <v>57</v>
      </c>
      <c r="AB8" s="4">
        <v>1084</v>
      </c>
      <c r="AC8" s="4">
        <v>27</v>
      </c>
      <c r="AD8" s="4">
        <v>57</v>
      </c>
      <c r="AE8" s="2" t="s">
        <v>58</v>
      </c>
      <c r="AF8" s="2" t="s">
        <v>59</v>
      </c>
      <c r="AG8" s="2" t="s">
        <v>60</v>
      </c>
      <c r="AH8" s="2" t="s">
        <v>176</v>
      </c>
      <c r="AI8" s="2" t="s">
        <v>62</v>
      </c>
    </row>
    <row r="9" spans="1:35" x14ac:dyDescent="0.25">
      <c r="A9" s="2" t="s">
        <v>177</v>
      </c>
      <c r="B9" s="2" t="s">
        <v>178</v>
      </c>
      <c r="C9" s="2" t="s">
        <v>37</v>
      </c>
      <c r="D9" s="2" t="s">
        <v>38</v>
      </c>
      <c r="E9" s="2" t="s">
        <v>179</v>
      </c>
      <c r="F9" s="2">
        <f>1-555-1008</f>
        <v>-1562</v>
      </c>
      <c r="G9" s="2" t="b">
        <v>1</v>
      </c>
      <c r="H9" s="2" t="b">
        <v>1</v>
      </c>
      <c r="I9" s="2" t="s">
        <v>180</v>
      </c>
      <c r="J9" s="2" t="s">
        <v>181</v>
      </c>
      <c r="K9" s="2" t="s">
        <v>182</v>
      </c>
      <c r="L9" s="2" t="s">
        <v>183</v>
      </c>
      <c r="M9" s="2" t="s">
        <v>184</v>
      </c>
      <c r="N9" s="2" t="s">
        <v>185</v>
      </c>
      <c r="O9" s="2" t="s">
        <v>186</v>
      </c>
      <c r="P9" s="2" t="s">
        <v>187</v>
      </c>
      <c r="Q9" s="2" t="s">
        <v>188</v>
      </c>
      <c r="R9" s="2" t="s">
        <v>189</v>
      </c>
      <c r="S9" s="2" t="s">
        <v>190</v>
      </c>
      <c r="T9" s="2" t="s">
        <v>191</v>
      </c>
      <c r="U9" s="2" t="s">
        <v>192</v>
      </c>
      <c r="V9" s="2" t="s">
        <v>193</v>
      </c>
      <c r="W9" s="2" t="s">
        <v>194</v>
      </c>
      <c r="X9" s="2" t="s">
        <v>37</v>
      </c>
      <c r="Y9" s="4" t="s">
        <v>55</v>
      </c>
      <c r="Z9" s="4" t="s">
        <v>56</v>
      </c>
      <c r="AA9" s="4" t="s">
        <v>57</v>
      </c>
      <c r="AB9" s="4">
        <v>1096</v>
      </c>
      <c r="AC9" s="4">
        <v>28</v>
      </c>
      <c r="AD9" s="4">
        <v>58</v>
      </c>
      <c r="AE9" s="2" t="s">
        <v>58</v>
      </c>
      <c r="AF9" s="2" t="s">
        <v>59</v>
      </c>
      <c r="AG9" s="2" t="s">
        <v>60</v>
      </c>
      <c r="AH9" s="2" t="s">
        <v>195</v>
      </c>
      <c r="AI9" s="2" t="s">
        <v>62</v>
      </c>
    </row>
    <row r="10" spans="1:35" x14ac:dyDescent="0.25">
      <c r="A10" s="2" t="s">
        <v>196</v>
      </c>
      <c r="B10" s="2" t="s">
        <v>197</v>
      </c>
      <c r="C10" s="2" t="s">
        <v>37</v>
      </c>
      <c r="D10" s="2" t="s">
        <v>38</v>
      </c>
      <c r="E10" s="2" t="s">
        <v>198</v>
      </c>
      <c r="F10" s="2">
        <f>1-555-1009</f>
        <v>-1563</v>
      </c>
      <c r="G10" s="2" t="b">
        <v>1</v>
      </c>
      <c r="H10" s="2" t="b">
        <v>1</v>
      </c>
      <c r="I10" s="2" t="s">
        <v>199</v>
      </c>
      <c r="J10" s="2" t="s">
        <v>200</v>
      </c>
      <c r="K10" s="2" t="s">
        <v>201</v>
      </c>
      <c r="L10" s="2" t="s">
        <v>202</v>
      </c>
      <c r="M10" s="2" t="s">
        <v>203</v>
      </c>
      <c r="N10" s="2" t="s">
        <v>204</v>
      </c>
      <c r="O10" s="2" t="s">
        <v>205</v>
      </c>
      <c r="P10" s="2" t="s">
        <v>206</v>
      </c>
      <c r="Q10" s="2" t="s">
        <v>207</v>
      </c>
      <c r="R10" s="2" t="s">
        <v>208</v>
      </c>
      <c r="S10" s="2" t="s">
        <v>209</v>
      </c>
      <c r="T10" s="2" t="s">
        <v>210</v>
      </c>
      <c r="U10" s="2" t="s">
        <v>211</v>
      </c>
      <c r="V10" s="2" t="s">
        <v>212</v>
      </c>
      <c r="W10" s="2" t="s">
        <v>213</v>
      </c>
      <c r="X10" s="2" t="s">
        <v>37</v>
      </c>
      <c r="Y10" s="4" t="s">
        <v>55</v>
      </c>
      <c r="Z10" s="4" t="s">
        <v>56</v>
      </c>
      <c r="AA10" s="4" t="s">
        <v>57</v>
      </c>
      <c r="AB10" s="4">
        <v>1108</v>
      </c>
      <c r="AC10" s="4">
        <v>29</v>
      </c>
      <c r="AD10" s="4">
        <v>59</v>
      </c>
      <c r="AE10" s="2" t="s">
        <v>58</v>
      </c>
      <c r="AF10" s="2" t="s">
        <v>59</v>
      </c>
      <c r="AG10" s="2" t="s">
        <v>60</v>
      </c>
      <c r="AH10" s="2" t="s">
        <v>214</v>
      </c>
      <c r="AI10" s="2" t="s">
        <v>62</v>
      </c>
    </row>
    <row r="11" spans="1:35" x14ac:dyDescent="0.25">
      <c r="A11" s="2" t="s">
        <v>215</v>
      </c>
      <c r="B11" s="2" t="s">
        <v>216</v>
      </c>
      <c r="C11" s="2" t="s">
        <v>37</v>
      </c>
      <c r="D11" s="2" t="s">
        <v>38</v>
      </c>
      <c r="E11" s="2" t="s">
        <v>217</v>
      </c>
      <c r="F11" s="2">
        <f>1-555-1010</f>
        <v>-1564</v>
      </c>
      <c r="G11" s="2" t="b">
        <v>1</v>
      </c>
      <c r="H11" s="2" t="b">
        <v>1</v>
      </c>
      <c r="I11" s="2" t="s">
        <v>218</v>
      </c>
      <c r="J11" s="2" t="s">
        <v>219</v>
      </c>
      <c r="K11" s="2" t="s">
        <v>220</v>
      </c>
      <c r="L11" s="2" t="s">
        <v>221</v>
      </c>
      <c r="M11" s="2" t="s">
        <v>222</v>
      </c>
      <c r="N11" s="2" t="s">
        <v>223</v>
      </c>
      <c r="O11" s="2" t="s">
        <v>224</v>
      </c>
      <c r="P11" s="2" t="s">
        <v>225</v>
      </c>
      <c r="Q11" s="2" t="s">
        <v>226</v>
      </c>
      <c r="R11" s="2" t="s">
        <v>227</v>
      </c>
      <c r="S11" s="2" t="s">
        <v>228</v>
      </c>
      <c r="T11" s="2" t="s">
        <v>229</v>
      </c>
      <c r="U11" s="2" t="s">
        <v>230</v>
      </c>
      <c r="V11" s="2" t="s">
        <v>231</v>
      </c>
      <c r="W11" s="2" t="s">
        <v>232</v>
      </c>
      <c r="X11" s="2" t="s">
        <v>37</v>
      </c>
      <c r="Y11" s="4" t="s">
        <v>55</v>
      </c>
      <c r="Z11" s="4" t="s">
        <v>56</v>
      </c>
      <c r="AA11" s="4" t="s">
        <v>57</v>
      </c>
      <c r="AB11" s="4">
        <v>1120</v>
      </c>
      <c r="AC11" s="4">
        <v>30</v>
      </c>
      <c r="AD11" s="4">
        <v>60</v>
      </c>
      <c r="AE11" s="2" t="s">
        <v>58</v>
      </c>
      <c r="AF11" s="2" t="s">
        <v>59</v>
      </c>
      <c r="AG11" s="2" t="s">
        <v>60</v>
      </c>
      <c r="AH11" s="2" t="s">
        <v>233</v>
      </c>
      <c r="AI11" s="2" t="s">
        <v>62</v>
      </c>
    </row>
    <row r="12" spans="1:35" x14ac:dyDescent="0.25">
      <c r="A12" s="2" t="s">
        <v>234</v>
      </c>
      <c r="B12" s="2" t="s">
        <v>235</v>
      </c>
      <c r="C12" s="2" t="s">
        <v>37</v>
      </c>
      <c r="D12" s="2" t="s">
        <v>38</v>
      </c>
      <c r="E12" s="2" t="s">
        <v>236</v>
      </c>
      <c r="F12" s="2">
        <f>1-555-1011</f>
        <v>-1565</v>
      </c>
      <c r="G12" s="2" t="b">
        <v>1</v>
      </c>
      <c r="H12" s="2" t="b">
        <v>1</v>
      </c>
      <c r="I12" s="2" t="s">
        <v>237</v>
      </c>
      <c r="J12" s="2" t="s">
        <v>238</v>
      </c>
      <c r="K12" s="2" t="s">
        <v>239</v>
      </c>
      <c r="L12" s="2" t="s">
        <v>240</v>
      </c>
      <c r="M12" s="2" t="s">
        <v>241</v>
      </c>
      <c r="N12" s="2" t="s">
        <v>242</v>
      </c>
      <c r="O12" s="2" t="s">
        <v>243</v>
      </c>
      <c r="P12" s="2" t="s">
        <v>244</v>
      </c>
      <c r="Q12" s="2" t="s">
        <v>245</v>
      </c>
      <c r="R12" s="2" t="s">
        <v>246</v>
      </c>
      <c r="S12" s="2" t="s">
        <v>247</v>
      </c>
      <c r="T12" s="2" t="s">
        <v>248</v>
      </c>
      <c r="U12" s="2" t="s">
        <v>249</v>
      </c>
      <c r="V12" s="2" t="s">
        <v>250</v>
      </c>
      <c r="W12" s="2" t="s">
        <v>251</v>
      </c>
      <c r="X12" s="2" t="s">
        <v>37</v>
      </c>
      <c r="Y12" s="4" t="s">
        <v>55</v>
      </c>
      <c r="Z12" s="4" t="s">
        <v>56</v>
      </c>
      <c r="AA12" s="4" t="s">
        <v>57</v>
      </c>
      <c r="AB12" s="4">
        <v>1132</v>
      </c>
      <c r="AC12" s="4">
        <v>31</v>
      </c>
      <c r="AD12" s="4">
        <v>61</v>
      </c>
      <c r="AE12" s="2" t="s">
        <v>58</v>
      </c>
      <c r="AF12" s="2" t="s">
        <v>59</v>
      </c>
      <c r="AG12" s="2" t="s">
        <v>60</v>
      </c>
      <c r="AH12" s="2" t="s">
        <v>252</v>
      </c>
      <c r="AI12" s="2" t="s">
        <v>62</v>
      </c>
    </row>
    <row r="13" spans="1:35" x14ac:dyDescent="0.25">
      <c r="A13" s="2" t="s">
        <v>253</v>
      </c>
      <c r="B13" s="2" t="s">
        <v>254</v>
      </c>
      <c r="C13" s="2" t="s">
        <v>37</v>
      </c>
      <c r="D13" s="2" t="s">
        <v>38</v>
      </c>
      <c r="E13" s="2" t="s">
        <v>255</v>
      </c>
      <c r="F13" s="2">
        <f>1-555-1012</f>
        <v>-1566</v>
      </c>
      <c r="G13" s="2" t="b">
        <v>1</v>
      </c>
      <c r="H13" s="2" t="b">
        <v>1</v>
      </c>
      <c r="I13" s="2" t="s">
        <v>256</v>
      </c>
      <c r="J13" s="2" t="s">
        <v>257</v>
      </c>
      <c r="K13" s="2" t="s">
        <v>258</v>
      </c>
      <c r="L13" s="2" t="s">
        <v>259</v>
      </c>
      <c r="M13" s="2" t="s">
        <v>260</v>
      </c>
      <c r="N13" s="2" t="s">
        <v>261</v>
      </c>
      <c r="O13" s="2" t="s">
        <v>262</v>
      </c>
      <c r="P13" s="2" t="s">
        <v>263</v>
      </c>
      <c r="Q13" s="2" t="s">
        <v>264</v>
      </c>
      <c r="R13" s="2" t="s">
        <v>265</v>
      </c>
      <c r="S13" s="2" t="s">
        <v>266</v>
      </c>
      <c r="T13" s="2" t="s">
        <v>267</v>
      </c>
      <c r="U13" s="2" t="s">
        <v>268</v>
      </c>
      <c r="V13" s="2" t="s">
        <v>269</v>
      </c>
      <c r="W13" s="2" t="s">
        <v>270</v>
      </c>
      <c r="X13" s="2" t="s">
        <v>37</v>
      </c>
      <c r="Y13" s="4" t="s">
        <v>55</v>
      </c>
      <c r="Z13" s="4" t="s">
        <v>56</v>
      </c>
      <c r="AA13" s="4" t="s">
        <v>57</v>
      </c>
      <c r="AB13" s="4">
        <v>1144</v>
      </c>
      <c r="AC13" s="4">
        <v>32</v>
      </c>
      <c r="AD13" s="4">
        <v>62</v>
      </c>
      <c r="AE13" s="2" t="s">
        <v>58</v>
      </c>
      <c r="AF13" s="2" t="s">
        <v>59</v>
      </c>
      <c r="AG13" s="2" t="s">
        <v>60</v>
      </c>
      <c r="AH13" s="2" t="s">
        <v>271</v>
      </c>
      <c r="AI13" s="2" t="s">
        <v>62</v>
      </c>
    </row>
    <row r="14" spans="1:35" x14ac:dyDescent="0.25">
      <c r="A14" s="2" t="s">
        <v>272</v>
      </c>
      <c r="B14" s="2" t="s">
        <v>273</v>
      </c>
      <c r="C14" s="2" t="s">
        <v>37</v>
      </c>
      <c r="D14" s="2" t="s">
        <v>38</v>
      </c>
      <c r="E14" s="2" t="s">
        <v>274</v>
      </c>
      <c r="F14" s="2">
        <f>1-555-1013</f>
        <v>-1567</v>
      </c>
      <c r="G14" s="2" t="b">
        <v>1</v>
      </c>
      <c r="H14" s="2" t="b">
        <v>1</v>
      </c>
      <c r="I14" s="2" t="s">
        <v>275</v>
      </c>
      <c r="J14" s="2" t="s">
        <v>276</v>
      </c>
      <c r="K14" s="2" t="s">
        <v>277</v>
      </c>
      <c r="L14" s="2" t="s">
        <v>278</v>
      </c>
      <c r="M14" s="2" t="s">
        <v>279</v>
      </c>
      <c r="N14" s="2" t="s">
        <v>280</v>
      </c>
      <c r="O14" s="2" t="s">
        <v>281</v>
      </c>
      <c r="P14" s="2" t="s">
        <v>282</v>
      </c>
      <c r="Q14" s="2" t="s">
        <v>283</v>
      </c>
      <c r="R14" s="2" t="s">
        <v>284</v>
      </c>
      <c r="S14" s="2" t="s">
        <v>285</v>
      </c>
      <c r="T14" s="2" t="s">
        <v>286</v>
      </c>
      <c r="U14" s="2" t="s">
        <v>287</v>
      </c>
      <c r="V14" s="2" t="s">
        <v>288</v>
      </c>
      <c r="W14" s="2" t="s">
        <v>289</v>
      </c>
      <c r="X14" s="2" t="s">
        <v>37</v>
      </c>
      <c r="Y14" s="4" t="s">
        <v>55</v>
      </c>
      <c r="Z14" s="4" t="s">
        <v>56</v>
      </c>
      <c r="AA14" s="4" t="s">
        <v>57</v>
      </c>
      <c r="AB14" s="4">
        <v>1156</v>
      </c>
      <c r="AC14" s="4">
        <v>33</v>
      </c>
      <c r="AD14" s="4">
        <v>63</v>
      </c>
      <c r="AE14" s="2" t="s">
        <v>58</v>
      </c>
      <c r="AF14" s="2" t="s">
        <v>59</v>
      </c>
      <c r="AG14" s="2" t="s">
        <v>60</v>
      </c>
      <c r="AH14" s="2" t="s">
        <v>290</v>
      </c>
      <c r="AI14" s="2" t="s">
        <v>62</v>
      </c>
    </row>
    <row r="15" spans="1:35" x14ac:dyDescent="0.25">
      <c r="A15" s="2" t="s">
        <v>291</v>
      </c>
      <c r="B15" s="2" t="s">
        <v>292</v>
      </c>
      <c r="C15" s="2" t="s">
        <v>37</v>
      </c>
      <c r="D15" s="2" t="s">
        <v>38</v>
      </c>
      <c r="E15" s="2" t="s">
        <v>293</v>
      </c>
      <c r="F15" s="2">
        <f>1-555-1014</f>
        <v>-1568</v>
      </c>
      <c r="G15" s="2" t="b">
        <v>1</v>
      </c>
      <c r="H15" s="2" t="b">
        <v>1</v>
      </c>
      <c r="I15" s="2" t="s">
        <v>294</v>
      </c>
      <c r="J15" s="2" t="s">
        <v>295</v>
      </c>
      <c r="K15" s="2" t="s">
        <v>296</v>
      </c>
      <c r="L15" s="2" t="s">
        <v>297</v>
      </c>
      <c r="M15" s="2" t="s">
        <v>298</v>
      </c>
      <c r="N15" s="2" t="s">
        <v>299</v>
      </c>
      <c r="O15" s="2" t="s">
        <v>300</v>
      </c>
      <c r="P15" s="2" t="s">
        <v>301</v>
      </c>
      <c r="Q15" s="2" t="s">
        <v>302</v>
      </c>
      <c r="R15" s="2" t="s">
        <v>303</v>
      </c>
      <c r="S15" s="2" t="s">
        <v>304</v>
      </c>
      <c r="T15" s="2" t="s">
        <v>305</v>
      </c>
      <c r="U15" s="2" t="s">
        <v>306</v>
      </c>
      <c r="V15" s="2" t="s">
        <v>307</v>
      </c>
      <c r="W15" s="2" t="s">
        <v>308</v>
      </c>
      <c r="X15" s="2" t="s">
        <v>37</v>
      </c>
      <c r="Y15" s="4" t="s">
        <v>55</v>
      </c>
      <c r="Z15" s="4" t="s">
        <v>56</v>
      </c>
      <c r="AA15" s="4" t="s">
        <v>57</v>
      </c>
      <c r="AB15" s="4">
        <v>1168</v>
      </c>
      <c r="AC15" s="4">
        <v>34</v>
      </c>
      <c r="AD15" s="4">
        <v>64</v>
      </c>
      <c r="AE15" s="2" t="s">
        <v>58</v>
      </c>
      <c r="AF15" s="2" t="s">
        <v>59</v>
      </c>
      <c r="AG15" s="2" t="s">
        <v>60</v>
      </c>
      <c r="AH15" s="2" t="s">
        <v>309</v>
      </c>
      <c r="AI15" s="2" t="s">
        <v>62</v>
      </c>
    </row>
    <row r="16" spans="1:35" x14ac:dyDescent="0.25">
      <c r="A16" s="2" t="s">
        <v>310</v>
      </c>
      <c r="B16" s="2" t="s">
        <v>311</v>
      </c>
      <c r="C16" s="2" t="s">
        <v>37</v>
      </c>
      <c r="D16" s="2" t="s">
        <v>38</v>
      </c>
      <c r="E16" s="2" t="s">
        <v>312</v>
      </c>
      <c r="F16" s="2">
        <f>1-555-1015</f>
        <v>-1569</v>
      </c>
      <c r="G16" s="2" t="b">
        <v>1</v>
      </c>
      <c r="H16" s="2" t="b">
        <v>1</v>
      </c>
      <c r="I16" s="2" t="s">
        <v>313</v>
      </c>
      <c r="J16" s="2" t="s">
        <v>314</v>
      </c>
      <c r="K16" s="2" t="s">
        <v>315</v>
      </c>
      <c r="L16" s="2" t="s">
        <v>316</v>
      </c>
      <c r="M16" s="2" t="s">
        <v>317</v>
      </c>
      <c r="N16" s="2" t="s">
        <v>318</v>
      </c>
      <c r="O16" s="2" t="s">
        <v>319</v>
      </c>
      <c r="P16" s="2" t="s">
        <v>320</v>
      </c>
      <c r="Q16" s="2" t="s">
        <v>321</v>
      </c>
      <c r="R16" s="2" t="s">
        <v>322</v>
      </c>
      <c r="S16" s="2" t="s">
        <v>323</v>
      </c>
      <c r="T16" s="2" t="s">
        <v>324</v>
      </c>
      <c r="U16" s="2" t="s">
        <v>325</v>
      </c>
      <c r="V16" s="2" t="s">
        <v>326</v>
      </c>
      <c r="W16" s="2" t="s">
        <v>327</v>
      </c>
      <c r="X16" s="2" t="s">
        <v>37</v>
      </c>
      <c r="Y16" s="4" t="s">
        <v>55</v>
      </c>
      <c r="Z16" s="4" t="s">
        <v>56</v>
      </c>
      <c r="AA16" s="4" t="s">
        <v>57</v>
      </c>
      <c r="AB16" s="4">
        <v>1180</v>
      </c>
      <c r="AC16" s="4">
        <v>35</v>
      </c>
      <c r="AD16" s="4">
        <v>65</v>
      </c>
      <c r="AE16" s="2" t="s">
        <v>58</v>
      </c>
      <c r="AF16" s="2" t="s">
        <v>59</v>
      </c>
      <c r="AG16" s="2" t="s">
        <v>60</v>
      </c>
      <c r="AH16" s="2" t="s">
        <v>328</v>
      </c>
      <c r="AI16" s="2" t="s">
        <v>62</v>
      </c>
    </row>
    <row r="17" spans="1:35" x14ac:dyDescent="0.25">
      <c r="A17" s="2" t="s">
        <v>329</v>
      </c>
      <c r="B17" s="2" t="s">
        <v>330</v>
      </c>
      <c r="C17" s="2" t="s">
        <v>37</v>
      </c>
      <c r="D17" s="2" t="s">
        <v>38</v>
      </c>
      <c r="E17" s="2" t="s">
        <v>331</v>
      </c>
      <c r="F17" s="2">
        <f>1-555-1016</f>
        <v>-1570</v>
      </c>
      <c r="G17" s="2" t="b">
        <v>1</v>
      </c>
      <c r="H17" s="2" t="b">
        <v>1</v>
      </c>
      <c r="I17" s="2" t="s">
        <v>332</v>
      </c>
      <c r="J17" s="2" t="s">
        <v>333</v>
      </c>
      <c r="K17" s="2" t="s">
        <v>334</v>
      </c>
      <c r="L17" s="2" t="s">
        <v>335</v>
      </c>
      <c r="M17" s="2" t="s">
        <v>336</v>
      </c>
      <c r="N17" s="2" t="s">
        <v>337</v>
      </c>
      <c r="O17" s="2" t="s">
        <v>338</v>
      </c>
      <c r="P17" s="2" t="s">
        <v>339</v>
      </c>
      <c r="Q17" s="2" t="s">
        <v>340</v>
      </c>
      <c r="R17" s="2" t="s">
        <v>341</v>
      </c>
      <c r="S17" s="2" t="s">
        <v>342</v>
      </c>
      <c r="T17" s="2" t="s">
        <v>343</v>
      </c>
      <c r="U17" s="2" t="s">
        <v>344</v>
      </c>
      <c r="V17" s="2" t="s">
        <v>345</v>
      </c>
      <c r="W17" s="2" t="s">
        <v>346</v>
      </c>
      <c r="X17" s="2" t="s">
        <v>37</v>
      </c>
      <c r="Y17" s="4" t="s">
        <v>55</v>
      </c>
      <c r="Z17" s="4" t="s">
        <v>56</v>
      </c>
      <c r="AA17" s="4" t="s">
        <v>57</v>
      </c>
      <c r="AB17" s="4">
        <v>1192</v>
      </c>
      <c r="AC17" s="4">
        <v>36</v>
      </c>
      <c r="AD17" s="4">
        <v>66</v>
      </c>
      <c r="AE17" s="2" t="s">
        <v>58</v>
      </c>
      <c r="AF17" s="2" t="s">
        <v>59</v>
      </c>
      <c r="AG17" s="2" t="s">
        <v>60</v>
      </c>
      <c r="AH17" s="2" t="s">
        <v>347</v>
      </c>
      <c r="AI17" s="2" t="s">
        <v>62</v>
      </c>
    </row>
    <row r="18" spans="1:35" x14ac:dyDescent="0.25">
      <c r="A18" s="2" t="s">
        <v>348</v>
      </c>
      <c r="B18" s="2" t="s">
        <v>349</v>
      </c>
      <c r="C18" s="2" t="s">
        <v>37</v>
      </c>
      <c r="D18" s="2" t="s">
        <v>38</v>
      </c>
      <c r="E18" s="2" t="s">
        <v>350</v>
      </c>
      <c r="F18" s="2">
        <f>1-555-1017</f>
        <v>-1571</v>
      </c>
      <c r="G18" s="2" t="b">
        <v>1</v>
      </c>
      <c r="H18" s="2" t="b">
        <v>1</v>
      </c>
      <c r="I18" s="2" t="s">
        <v>351</v>
      </c>
      <c r="J18" s="2" t="s">
        <v>352</v>
      </c>
      <c r="K18" s="2" t="s">
        <v>353</v>
      </c>
      <c r="L18" s="2" t="s">
        <v>354</v>
      </c>
      <c r="M18" s="2" t="s">
        <v>355</v>
      </c>
      <c r="N18" s="2" t="s">
        <v>356</v>
      </c>
      <c r="O18" s="2" t="s">
        <v>357</v>
      </c>
      <c r="P18" s="2" t="s">
        <v>358</v>
      </c>
      <c r="Q18" s="2" t="s">
        <v>359</v>
      </c>
      <c r="R18" s="2" t="s">
        <v>360</v>
      </c>
      <c r="S18" s="2" t="s">
        <v>361</v>
      </c>
      <c r="T18" s="2" t="s">
        <v>362</v>
      </c>
      <c r="U18" s="2" t="s">
        <v>363</v>
      </c>
      <c r="V18" s="2" t="s">
        <v>364</v>
      </c>
      <c r="W18" s="2" t="s">
        <v>365</v>
      </c>
      <c r="X18" s="2" t="s">
        <v>37</v>
      </c>
      <c r="Y18" s="4" t="s">
        <v>55</v>
      </c>
      <c r="Z18" s="4" t="s">
        <v>56</v>
      </c>
      <c r="AA18" s="4" t="s">
        <v>57</v>
      </c>
      <c r="AB18" s="4">
        <v>1204</v>
      </c>
      <c r="AC18" s="4">
        <v>37</v>
      </c>
      <c r="AD18" s="4">
        <v>67</v>
      </c>
      <c r="AE18" s="2" t="s">
        <v>58</v>
      </c>
      <c r="AF18" s="2" t="s">
        <v>59</v>
      </c>
      <c r="AG18" s="2" t="s">
        <v>60</v>
      </c>
      <c r="AH18" s="2" t="s">
        <v>366</v>
      </c>
      <c r="AI18" s="2" t="s">
        <v>62</v>
      </c>
    </row>
    <row r="19" spans="1:35" x14ac:dyDescent="0.25">
      <c r="A19" s="2" t="s">
        <v>367</v>
      </c>
      <c r="B19" s="2" t="s">
        <v>368</v>
      </c>
      <c r="C19" s="2" t="s">
        <v>37</v>
      </c>
      <c r="D19" s="2" t="s">
        <v>38</v>
      </c>
      <c r="E19" s="2" t="s">
        <v>369</v>
      </c>
      <c r="F19" s="2">
        <f>1-555-1018</f>
        <v>-1572</v>
      </c>
      <c r="G19" s="2" t="b">
        <v>1</v>
      </c>
      <c r="H19" s="2" t="b">
        <v>1</v>
      </c>
      <c r="I19" s="2" t="s">
        <v>370</v>
      </c>
      <c r="J19" s="2" t="s">
        <v>371</v>
      </c>
      <c r="K19" s="2" t="s">
        <v>372</v>
      </c>
      <c r="L19" s="2" t="s">
        <v>373</v>
      </c>
      <c r="M19" s="2" t="s">
        <v>374</v>
      </c>
      <c r="N19" s="2" t="s">
        <v>375</v>
      </c>
      <c r="O19" s="2" t="s">
        <v>376</v>
      </c>
      <c r="P19" s="2" t="s">
        <v>377</v>
      </c>
      <c r="Q19" s="2" t="s">
        <v>378</v>
      </c>
      <c r="R19" s="2" t="s">
        <v>379</v>
      </c>
      <c r="S19" s="2" t="s">
        <v>380</v>
      </c>
      <c r="T19" s="2" t="s">
        <v>381</v>
      </c>
      <c r="U19" s="2" t="s">
        <v>382</v>
      </c>
      <c r="V19" s="2" t="s">
        <v>383</v>
      </c>
      <c r="W19" s="2" t="s">
        <v>384</v>
      </c>
      <c r="X19" s="2" t="s">
        <v>37</v>
      </c>
      <c r="Y19" s="4" t="s">
        <v>55</v>
      </c>
      <c r="Z19" s="4" t="s">
        <v>56</v>
      </c>
      <c r="AA19" s="4" t="s">
        <v>57</v>
      </c>
      <c r="AB19" s="4">
        <v>1216</v>
      </c>
      <c r="AC19" s="4">
        <v>38</v>
      </c>
      <c r="AD19" s="4">
        <v>68</v>
      </c>
      <c r="AE19" s="2" t="s">
        <v>58</v>
      </c>
      <c r="AF19" s="2" t="s">
        <v>59</v>
      </c>
      <c r="AG19" s="2" t="s">
        <v>60</v>
      </c>
      <c r="AH19" s="2" t="s">
        <v>385</v>
      </c>
      <c r="AI19" s="2" t="s">
        <v>62</v>
      </c>
    </row>
    <row r="20" spans="1:35" x14ac:dyDescent="0.25">
      <c r="A20" s="2" t="s">
        <v>386</v>
      </c>
      <c r="B20" s="2" t="s">
        <v>387</v>
      </c>
      <c r="C20" s="2" t="s">
        <v>37</v>
      </c>
      <c r="D20" s="2" t="s">
        <v>38</v>
      </c>
      <c r="E20" s="2" t="s">
        <v>388</v>
      </c>
      <c r="F20" s="2">
        <f>1-555-1019</f>
        <v>-1573</v>
      </c>
      <c r="G20" s="2" t="b">
        <v>1</v>
      </c>
      <c r="H20" s="2" t="b">
        <v>1</v>
      </c>
      <c r="I20" s="2" t="s">
        <v>389</v>
      </c>
      <c r="J20" s="2" t="s">
        <v>390</v>
      </c>
      <c r="K20" s="2" t="s">
        <v>391</v>
      </c>
      <c r="L20" s="2" t="s">
        <v>392</v>
      </c>
      <c r="M20" s="2" t="s">
        <v>393</v>
      </c>
      <c r="N20" s="2" t="s">
        <v>394</v>
      </c>
      <c r="O20" s="2" t="s">
        <v>395</v>
      </c>
      <c r="P20" s="2" t="s">
        <v>396</v>
      </c>
      <c r="Q20" s="2" t="s">
        <v>397</v>
      </c>
      <c r="R20" s="2" t="s">
        <v>398</v>
      </c>
      <c r="S20" s="2" t="s">
        <v>399</v>
      </c>
      <c r="T20" s="2" t="s">
        <v>400</v>
      </c>
      <c r="U20" s="2" t="s">
        <v>401</v>
      </c>
      <c r="V20" s="2" t="s">
        <v>402</v>
      </c>
      <c r="W20" s="2" t="s">
        <v>403</v>
      </c>
      <c r="X20" s="2" t="s">
        <v>37</v>
      </c>
      <c r="Y20" s="4" t="s">
        <v>55</v>
      </c>
      <c r="Z20" s="4" t="s">
        <v>56</v>
      </c>
      <c r="AA20" s="4" t="s">
        <v>57</v>
      </c>
      <c r="AB20" s="4">
        <v>1228</v>
      </c>
      <c r="AC20" s="4">
        <v>39</v>
      </c>
      <c r="AD20" s="4">
        <v>69</v>
      </c>
      <c r="AE20" s="2" t="s">
        <v>58</v>
      </c>
      <c r="AF20" s="2" t="s">
        <v>59</v>
      </c>
      <c r="AG20" s="2" t="s">
        <v>60</v>
      </c>
      <c r="AH20" s="2" t="s">
        <v>404</v>
      </c>
      <c r="AI20" s="2" t="s">
        <v>62</v>
      </c>
    </row>
    <row r="21" spans="1:35" x14ac:dyDescent="0.25">
      <c r="A21" s="2" t="s">
        <v>405</v>
      </c>
      <c r="B21" s="2" t="s">
        <v>406</v>
      </c>
      <c r="C21" s="2" t="s">
        <v>37</v>
      </c>
      <c r="D21" s="2" t="s">
        <v>38</v>
      </c>
      <c r="E21" s="2" t="s">
        <v>407</v>
      </c>
      <c r="F21" s="2">
        <f>1-555-1020</f>
        <v>-1574</v>
      </c>
      <c r="G21" s="2" t="b">
        <v>1</v>
      </c>
      <c r="H21" s="2" t="b">
        <v>1</v>
      </c>
      <c r="I21" s="2" t="s">
        <v>408</v>
      </c>
      <c r="J21" s="2" t="s">
        <v>409</v>
      </c>
      <c r="K21" s="2" t="s">
        <v>410</v>
      </c>
      <c r="L21" s="2" t="s">
        <v>411</v>
      </c>
      <c r="M21" s="2" t="s">
        <v>412</v>
      </c>
      <c r="N21" s="2" t="s">
        <v>413</v>
      </c>
      <c r="O21" s="2" t="s">
        <v>414</v>
      </c>
      <c r="P21" s="2" t="s">
        <v>415</v>
      </c>
      <c r="Q21" s="2" t="s">
        <v>416</v>
      </c>
      <c r="R21" s="2" t="s">
        <v>417</v>
      </c>
      <c r="S21" s="2" t="s">
        <v>418</v>
      </c>
      <c r="T21" s="2" t="s">
        <v>419</v>
      </c>
      <c r="U21" s="2" t="s">
        <v>420</v>
      </c>
      <c r="V21" s="2" t="s">
        <v>421</v>
      </c>
      <c r="W21" s="2" t="s">
        <v>422</v>
      </c>
      <c r="X21" s="2" t="s">
        <v>37</v>
      </c>
      <c r="Y21" s="4" t="s">
        <v>55</v>
      </c>
      <c r="Z21" s="4" t="s">
        <v>56</v>
      </c>
      <c r="AA21" s="4" t="s">
        <v>57</v>
      </c>
      <c r="AB21" s="4">
        <v>1240</v>
      </c>
      <c r="AC21" s="4">
        <v>20</v>
      </c>
      <c r="AD21" s="4">
        <v>70</v>
      </c>
      <c r="AE21" s="2" t="s">
        <v>58</v>
      </c>
      <c r="AF21" s="2" t="s">
        <v>59</v>
      </c>
      <c r="AG21" s="2" t="s">
        <v>60</v>
      </c>
      <c r="AH21" s="2" t="s">
        <v>423</v>
      </c>
      <c r="AI21" s="2" t="s">
        <v>62</v>
      </c>
    </row>
    <row r="22" spans="1:35" x14ac:dyDescent="0.25">
      <c r="A22" s="2" t="s">
        <v>424</v>
      </c>
      <c r="B22" s="2" t="s">
        <v>425</v>
      </c>
      <c r="C22" s="2" t="s">
        <v>37</v>
      </c>
      <c r="D22" s="2" t="s">
        <v>38</v>
      </c>
      <c r="E22" s="2" t="s">
        <v>426</v>
      </c>
      <c r="F22" s="2">
        <f>1-555-1021</f>
        <v>-1575</v>
      </c>
      <c r="G22" s="2" t="b">
        <v>1</v>
      </c>
      <c r="H22" s="2" t="b">
        <v>1</v>
      </c>
      <c r="I22" s="2" t="s">
        <v>427</v>
      </c>
      <c r="J22" s="2" t="s">
        <v>428</v>
      </c>
      <c r="K22" s="2" t="s">
        <v>429</v>
      </c>
      <c r="L22" s="2" t="s">
        <v>430</v>
      </c>
      <c r="M22" s="2" t="s">
        <v>431</v>
      </c>
      <c r="N22" s="2" t="s">
        <v>432</v>
      </c>
      <c r="O22" s="2" t="s">
        <v>433</v>
      </c>
      <c r="P22" s="2" t="s">
        <v>434</v>
      </c>
      <c r="Q22" s="2" t="s">
        <v>435</v>
      </c>
      <c r="R22" s="2" t="s">
        <v>436</v>
      </c>
      <c r="S22" s="2" t="s">
        <v>437</v>
      </c>
      <c r="T22" s="2" t="s">
        <v>438</v>
      </c>
      <c r="U22" s="2" t="s">
        <v>439</v>
      </c>
      <c r="V22" s="2" t="s">
        <v>440</v>
      </c>
      <c r="W22" s="2" t="s">
        <v>441</v>
      </c>
      <c r="X22" s="2" t="s">
        <v>37</v>
      </c>
      <c r="Y22" s="4" t="s">
        <v>55</v>
      </c>
      <c r="Z22" s="4" t="s">
        <v>56</v>
      </c>
      <c r="AA22" s="4" t="s">
        <v>57</v>
      </c>
      <c r="AB22" s="4">
        <v>1252</v>
      </c>
      <c r="AC22" s="4">
        <v>21</v>
      </c>
      <c r="AD22" s="4">
        <v>71</v>
      </c>
      <c r="AE22" s="2" t="s">
        <v>58</v>
      </c>
      <c r="AF22" s="2" t="s">
        <v>59</v>
      </c>
      <c r="AG22" s="2" t="s">
        <v>60</v>
      </c>
      <c r="AH22" s="2" t="s">
        <v>442</v>
      </c>
      <c r="AI22" s="2" t="s">
        <v>62</v>
      </c>
    </row>
    <row r="23" spans="1:35" x14ac:dyDescent="0.25">
      <c r="A23" s="2" t="s">
        <v>443</v>
      </c>
      <c r="B23" s="2" t="s">
        <v>444</v>
      </c>
      <c r="C23" s="2" t="s">
        <v>37</v>
      </c>
      <c r="D23" s="2" t="s">
        <v>38</v>
      </c>
      <c r="E23" s="2" t="s">
        <v>445</v>
      </c>
      <c r="F23" s="2">
        <f>1-555-1022</f>
        <v>-1576</v>
      </c>
      <c r="G23" s="2" t="b">
        <v>1</v>
      </c>
      <c r="H23" s="2" t="b">
        <v>1</v>
      </c>
      <c r="I23" s="2" t="s">
        <v>446</v>
      </c>
      <c r="J23" s="2" t="s">
        <v>447</v>
      </c>
      <c r="K23" s="2" t="s">
        <v>448</v>
      </c>
      <c r="L23" s="2" t="s">
        <v>449</v>
      </c>
      <c r="M23" s="2" t="s">
        <v>450</v>
      </c>
      <c r="N23" s="2" t="s">
        <v>451</v>
      </c>
      <c r="O23" s="2" t="s">
        <v>452</v>
      </c>
      <c r="P23" s="2" t="s">
        <v>453</v>
      </c>
      <c r="Q23" s="2" t="s">
        <v>454</v>
      </c>
      <c r="R23" s="2" t="s">
        <v>455</v>
      </c>
      <c r="S23" s="2" t="s">
        <v>456</v>
      </c>
      <c r="T23" s="2" t="s">
        <v>457</v>
      </c>
      <c r="U23" s="2" t="s">
        <v>458</v>
      </c>
      <c r="V23" s="2" t="s">
        <v>459</v>
      </c>
      <c r="W23" s="2" t="s">
        <v>460</v>
      </c>
      <c r="X23" s="2" t="s">
        <v>37</v>
      </c>
      <c r="Y23" s="4" t="s">
        <v>55</v>
      </c>
      <c r="Z23" s="4" t="s">
        <v>56</v>
      </c>
      <c r="AA23" s="4" t="s">
        <v>57</v>
      </c>
      <c r="AB23" s="4">
        <v>1264</v>
      </c>
      <c r="AC23" s="4">
        <v>22</v>
      </c>
      <c r="AD23" s="4">
        <v>72</v>
      </c>
      <c r="AE23" s="2" t="s">
        <v>58</v>
      </c>
      <c r="AF23" s="2" t="s">
        <v>59</v>
      </c>
      <c r="AG23" s="2" t="s">
        <v>60</v>
      </c>
      <c r="AH23" s="2" t="s">
        <v>461</v>
      </c>
      <c r="AI23" s="2" t="s">
        <v>62</v>
      </c>
    </row>
    <row r="24" spans="1:35" x14ac:dyDescent="0.25">
      <c r="A24" s="2" t="s">
        <v>462</v>
      </c>
      <c r="B24" s="2" t="s">
        <v>463</v>
      </c>
      <c r="C24" s="2" t="s">
        <v>37</v>
      </c>
      <c r="D24" s="2" t="s">
        <v>38</v>
      </c>
      <c r="E24" s="2" t="s">
        <v>464</v>
      </c>
      <c r="F24" s="2">
        <f>1-555-1023</f>
        <v>-1577</v>
      </c>
      <c r="G24" s="2" t="b">
        <v>1</v>
      </c>
      <c r="H24" s="2" t="b">
        <v>1</v>
      </c>
      <c r="I24" s="2" t="s">
        <v>465</v>
      </c>
      <c r="J24" s="2" t="s">
        <v>466</v>
      </c>
      <c r="K24" s="2" t="s">
        <v>467</v>
      </c>
      <c r="L24" s="2" t="s">
        <v>468</v>
      </c>
      <c r="M24" s="2" t="s">
        <v>469</v>
      </c>
      <c r="N24" s="2" t="s">
        <v>470</v>
      </c>
      <c r="O24" s="2" t="s">
        <v>471</v>
      </c>
      <c r="P24" s="2" t="s">
        <v>472</v>
      </c>
      <c r="Q24" s="2" t="s">
        <v>473</v>
      </c>
      <c r="R24" s="2" t="s">
        <v>474</v>
      </c>
      <c r="S24" s="2" t="s">
        <v>475</v>
      </c>
      <c r="T24" s="2" t="s">
        <v>476</v>
      </c>
      <c r="U24" s="2" t="s">
        <v>477</v>
      </c>
      <c r="V24" s="2" t="s">
        <v>478</v>
      </c>
      <c r="W24" s="2" t="s">
        <v>479</v>
      </c>
      <c r="X24" s="2" t="s">
        <v>37</v>
      </c>
      <c r="Y24" s="4" t="s">
        <v>55</v>
      </c>
      <c r="Z24" s="4" t="s">
        <v>56</v>
      </c>
      <c r="AA24" s="4" t="s">
        <v>57</v>
      </c>
      <c r="AB24" s="4">
        <v>1276</v>
      </c>
      <c r="AC24" s="4">
        <v>23</v>
      </c>
      <c r="AD24" s="4">
        <v>73</v>
      </c>
      <c r="AE24" s="2" t="s">
        <v>58</v>
      </c>
      <c r="AF24" s="2" t="s">
        <v>59</v>
      </c>
      <c r="AG24" s="2" t="s">
        <v>60</v>
      </c>
      <c r="AH24" s="2" t="s">
        <v>480</v>
      </c>
      <c r="AI24" s="2" t="s">
        <v>62</v>
      </c>
    </row>
    <row r="25" spans="1:35" x14ac:dyDescent="0.25">
      <c r="A25" s="2" t="s">
        <v>481</v>
      </c>
      <c r="B25" s="2" t="s">
        <v>482</v>
      </c>
      <c r="C25" s="2" t="s">
        <v>37</v>
      </c>
      <c r="D25" s="2" t="s">
        <v>38</v>
      </c>
      <c r="E25" s="2" t="s">
        <v>483</v>
      </c>
      <c r="F25" s="2">
        <f>1-555-1024</f>
        <v>-1578</v>
      </c>
      <c r="G25" s="2" t="b">
        <v>1</v>
      </c>
      <c r="H25" s="2" t="b">
        <v>1</v>
      </c>
      <c r="I25" s="2" t="s">
        <v>484</v>
      </c>
      <c r="J25" s="2" t="s">
        <v>485</v>
      </c>
      <c r="K25" s="2" t="s">
        <v>486</v>
      </c>
      <c r="L25" s="2" t="s">
        <v>487</v>
      </c>
      <c r="M25" s="2" t="s">
        <v>488</v>
      </c>
      <c r="N25" s="2" t="s">
        <v>489</v>
      </c>
      <c r="O25" s="2" t="s">
        <v>490</v>
      </c>
      <c r="P25" s="2" t="s">
        <v>491</v>
      </c>
      <c r="Q25" s="2" t="s">
        <v>492</v>
      </c>
      <c r="R25" s="2" t="s">
        <v>493</v>
      </c>
      <c r="S25" s="2" t="s">
        <v>494</v>
      </c>
      <c r="T25" s="2" t="s">
        <v>495</v>
      </c>
      <c r="U25" s="2" t="s">
        <v>496</v>
      </c>
      <c r="V25" s="2" t="s">
        <v>497</v>
      </c>
      <c r="W25" s="2" t="s">
        <v>498</v>
      </c>
      <c r="X25" s="2" t="s">
        <v>37</v>
      </c>
      <c r="Y25" s="4" t="s">
        <v>55</v>
      </c>
      <c r="Z25" s="4" t="s">
        <v>56</v>
      </c>
      <c r="AA25" s="4" t="s">
        <v>57</v>
      </c>
      <c r="AB25" s="4">
        <v>1288</v>
      </c>
      <c r="AC25" s="4">
        <v>24</v>
      </c>
      <c r="AD25" s="4">
        <v>74</v>
      </c>
      <c r="AE25" s="2" t="s">
        <v>58</v>
      </c>
      <c r="AF25" s="2" t="s">
        <v>59</v>
      </c>
      <c r="AG25" s="2" t="s">
        <v>60</v>
      </c>
      <c r="AH25" s="2" t="s">
        <v>499</v>
      </c>
      <c r="AI25" s="2" t="s">
        <v>62</v>
      </c>
    </row>
    <row r="26" spans="1:35" x14ac:dyDescent="0.25">
      <c r="A26" s="2" t="s">
        <v>500</v>
      </c>
      <c r="B26" s="2" t="s">
        <v>501</v>
      </c>
      <c r="C26" s="2" t="s">
        <v>37</v>
      </c>
      <c r="D26" s="2" t="s">
        <v>38</v>
      </c>
      <c r="E26" s="2" t="s">
        <v>502</v>
      </c>
      <c r="F26" s="2">
        <f>1-555-1025</f>
        <v>-1579</v>
      </c>
      <c r="G26" s="2" t="b">
        <v>1</v>
      </c>
      <c r="H26" s="2" t="b">
        <v>1</v>
      </c>
      <c r="I26" s="2" t="s">
        <v>503</v>
      </c>
      <c r="J26" s="2" t="s">
        <v>504</v>
      </c>
      <c r="K26" s="2" t="s">
        <v>505</v>
      </c>
      <c r="L26" s="2" t="s">
        <v>506</v>
      </c>
      <c r="M26" s="2" t="s">
        <v>507</v>
      </c>
      <c r="N26" s="2" t="s">
        <v>508</v>
      </c>
      <c r="O26" s="2" t="s">
        <v>509</v>
      </c>
      <c r="P26" s="2" t="s">
        <v>510</v>
      </c>
      <c r="Q26" s="2" t="s">
        <v>511</v>
      </c>
      <c r="R26" s="2" t="s">
        <v>512</v>
      </c>
      <c r="S26" s="2" t="s">
        <v>513</v>
      </c>
      <c r="T26" s="2" t="s">
        <v>514</v>
      </c>
      <c r="U26" s="2" t="s">
        <v>515</v>
      </c>
      <c r="V26" s="2" t="s">
        <v>516</v>
      </c>
      <c r="W26" s="2" t="s">
        <v>517</v>
      </c>
      <c r="X26" s="2" t="s">
        <v>37</v>
      </c>
      <c r="Y26" s="4" t="s">
        <v>55</v>
      </c>
      <c r="Z26" s="4" t="s">
        <v>56</v>
      </c>
      <c r="AA26" s="4" t="s">
        <v>57</v>
      </c>
      <c r="AB26" s="4">
        <v>1300</v>
      </c>
      <c r="AC26" s="4">
        <v>25</v>
      </c>
      <c r="AD26" s="4">
        <v>75</v>
      </c>
      <c r="AE26" s="2" t="s">
        <v>58</v>
      </c>
      <c r="AF26" s="2" t="s">
        <v>59</v>
      </c>
      <c r="AG26" s="2" t="s">
        <v>60</v>
      </c>
      <c r="AH26" s="2" t="s">
        <v>518</v>
      </c>
      <c r="AI26" s="2" t="s">
        <v>62</v>
      </c>
    </row>
    <row r="27" spans="1:35" x14ac:dyDescent="0.25">
      <c r="A27" s="2" t="s">
        <v>519</v>
      </c>
      <c r="B27" s="2" t="s">
        <v>520</v>
      </c>
      <c r="C27" s="2" t="s">
        <v>37</v>
      </c>
      <c r="D27" s="2" t="s">
        <v>38</v>
      </c>
      <c r="E27" s="2" t="s">
        <v>521</v>
      </c>
      <c r="F27" s="2">
        <f>1-555-1026</f>
        <v>-1580</v>
      </c>
      <c r="G27" s="2" t="b">
        <v>1</v>
      </c>
      <c r="H27" s="2" t="b">
        <v>1</v>
      </c>
      <c r="I27" s="2" t="s">
        <v>522</v>
      </c>
      <c r="J27" s="2" t="s">
        <v>523</v>
      </c>
      <c r="K27" s="2" t="s">
        <v>524</v>
      </c>
      <c r="L27" s="2" t="s">
        <v>525</v>
      </c>
      <c r="M27" s="2" t="s">
        <v>526</v>
      </c>
      <c r="N27" s="2" t="s">
        <v>527</v>
      </c>
      <c r="O27" s="2" t="s">
        <v>528</v>
      </c>
      <c r="P27" s="2" t="s">
        <v>529</v>
      </c>
      <c r="Q27" s="2" t="s">
        <v>530</v>
      </c>
      <c r="R27" s="2" t="s">
        <v>531</v>
      </c>
      <c r="S27" s="2" t="s">
        <v>532</v>
      </c>
      <c r="T27" s="2" t="s">
        <v>533</v>
      </c>
      <c r="U27" s="2" t="s">
        <v>534</v>
      </c>
      <c r="V27" s="2" t="s">
        <v>535</v>
      </c>
      <c r="W27" s="2" t="s">
        <v>536</v>
      </c>
      <c r="X27" s="2" t="s">
        <v>37</v>
      </c>
      <c r="Y27" s="4" t="s">
        <v>55</v>
      </c>
      <c r="Z27" s="4" t="s">
        <v>56</v>
      </c>
      <c r="AA27" s="4" t="s">
        <v>57</v>
      </c>
      <c r="AB27" s="4">
        <v>1312</v>
      </c>
      <c r="AC27" s="4">
        <v>26</v>
      </c>
      <c r="AD27" s="4">
        <v>76</v>
      </c>
      <c r="AE27" s="2" t="s">
        <v>58</v>
      </c>
      <c r="AF27" s="2" t="s">
        <v>59</v>
      </c>
      <c r="AG27" s="2" t="s">
        <v>60</v>
      </c>
      <c r="AH27" s="2" t="s">
        <v>537</v>
      </c>
      <c r="AI27" s="2" t="s">
        <v>62</v>
      </c>
    </row>
    <row r="28" spans="1:35" x14ac:dyDescent="0.25">
      <c r="A28" s="2" t="s">
        <v>538</v>
      </c>
      <c r="B28" s="2" t="s">
        <v>539</v>
      </c>
      <c r="C28" s="2" t="s">
        <v>37</v>
      </c>
      <c r="D28" s="2" t="s">
        <v>38</v>
      </c>
      <c r="E28" s="2" t="s">
        <v>540</v>
      </c>
      <c r="F28" s="2">
        <f>1-555-1027</f>
        <v>-1581</v>
      </c>
      <c r="G28" s="2" t="b">
        <v>1</v>
      </c>
      <c r="H28" s="2" t="b">
        <v>1</v>
      </c>
      <c r="I28" s="2" t="s">
        <v>541</v>
      </c>
      <c r="J28" s="2" t="s">
        <v>542</v>
      </c>
      <c r="K28" s="2" t="s">
        <v>543</v>
      </c>
      <c r="L28" s="2" t="s">
        <v>544</v>
      </c>
      <c r="M28" s="2" t="s">
        <v>545</v>
      </c>
      <c r="N28" s="2" t="s">
        <v>546</v>
      </c>
      <c r="O28" s="2" t="s">
        <v>547</v>
      </c>
      <c r="P28" s="2" t="s">
        <v>548</v>
      </c>
      <c r="Q28" s="2" t="s">
        <v>549</v>
      </c>
      <c r="R28" s="2" t="s">
        <v>550</v>
      </c>
      <c r="S28" s="2" t="s">
        <v>551</v>
      </c>
      <c r="T28" s="2" t="s">
        <v>552</v>
      </c>
      <c r="U28" s="2" t="s">
        <v>553</v>
      </c>
      <c r="V28" s="2" t="s">
        <v>554</v>
      </c>
      <c r="W28" s="2" t="s">
        <v>555</v>
      </c>
      <c r="X28" s="2" t="s">
        <v>37</v>
      </c>
      <c r="Y28" s="4" t="s">
        <v>55</v>
      </c>
      <c r="Z28" s="4" t="s">
        <v>56</v>
      </c>
      <c r="AA28" s="4" t="s">
        <v>57</v>
      </c>
      <c r="AB28" s="4">
        <v>1324</v>
      </c>
      <c r="AC28" s="4">
        <v>27</v>
      </c>
      <c r="AD28" s="4">
        <v>77</v>
      </c>
      <c r="AE28" s="2" t="s">
        <v>58</v>
      </c>
      <c r="AF28" s="2" t="s">
        <v>59</v>
      </c>
      <c r="AG28" s="2" t="s">
        <v>60</v>
      </c>
      <c r="AH28" s="2" t="s">
        <v>556</v>
      </c>
      <c r="AI28" s="2" t="s">
        <v>62</v>
      </c>
    </row>
    <row r="29" spans="1:35" x14ac:dyDescent="0.25">
      <c r="A29" s="2" t="s">
        <v>557</v>
      </c>
      <c r="B29" s="2" t="s">
        <v>558</v>
      </c>
      <c r="C29" s="2" t="s">
        <v>37</v>
      </c>
      <c r="D29" s="2" t="s">
        <v>38</v>
      </c>
      <c r="E29" s="2" t="s">
        <v>559</v>
      </c>
      <c r="F29" s="2">
        <f>1-555-1028</f>
        <v>-1582</v>
      </c>
      <c r="G29" s="2" t="b">
        <v>1</v>
      </c>
      <c r="H29" s="2" t="b">
        <v>1</v>
      </c>
      <c r="I29" s="2" t="s">
        <v>560</v>
      </c>
      <c r="J29" s="2" t="s">
        <v>561</v>
      </c>
      <c r="K29" s="2" t="s">
        <v>562</v>
      </c>
      <c r="L29" s="2" t="s">
        <v>563</v>
      </c>
      <c r="M29" s="2" t="s">
        <v>564</v>
      </c>
      <c r="N29" s="2" t="s">
        <v>565</v>
      </c>
      <c r="O29" s="2" t="s">
        <v>566</v>
      </c>
      <c r="P29" s="2" t="s">
        <v>567</v>
      </c>
      <c r="Q29" s="2" t="s">
        <v>568</v>
      </c>
      <c r="R29" s="2" t="s">
        <v>569</v>
      </c>
      <c r="S29" s="2" t="s">
        <v>570</v>
      </c>
      <c r="T29" s="2" t="s">
        <v>571</v>
      </c>
      <c r="U29" s="2" t="s">
        <v>572</v>
      </c>
      <c r="V29" s="2" t="s">
        <v>573</v>
      </c>
      <c r="W29" s="2" t="s">
        <v>574</v>
      </c>
      <c r="X29" s="2" t="s">
        <v>37</v>
      </c>
      <c r="Y29" s="4" t="s">
        <v>55</v>
      </c>
      <c r="Z29" s="4" t="s">
        <v>56</v>
      </c>
      <c r="AA29" s="4" t="s">
        <v>57</v>
      </c>
      <c r="AB29" s="4">
        <v>1336</v>
      </c>
      <c r="AC29" s="4">
        <v>28</v>
      </c>
      <c r="AD29" s="4">
        <v>78</v>
      </c>
      <c r="AE29" s="2" t="s">
        <v>58</v>
      </c>
      <c r="AF29" s="2" t="s">
        <v>59</v>
      </c>
      <c r="AG29" s="2" t="s">
        <v>60</v>
      </c>
      <c r="AH29" s="2" t="s">
        <v>575</v>
      </c>
      <c r="AI29" s="2" t="s">
        <v>62</v>
      </c>
    </row>
    <row r="30" spans="1:35" x14ac:dyDescent="0.25">
      <c r="A30" s="2" t="s">
        <v>576</v>
      </c>
      <c r="B30" s="2" t="s">
        <v>577</v>
      </c>
      <c r="C30" s="2" t="s">
        <v>37</v>
      </c>
      <c r="D30" s="2" t="s">
        <v>38</v>
      </c>
      <c r="E30" s="2" t="s">
        <v>578</v>
      </c>
      <c r="F30" s="2">
        <f>1-555-1029</f>
        <v>-1583</v>
      </c>
      <c r="G30" s="2" t="b">
        <v>1</v>
      </c>
      <c r="H30" s="2" t="b">
        <v>1</v>
      </c>
      <c r="I30" s="2" t="s">
        <v>579</v>
      </c>
      <c r="J30" s="2" t="s">
        <v>580</v>
      </c>
      <c r="K30" s="2" t="s">
        <v>581</v>
      </c>
      <c r="L30" s="2" t="s">
        <v>582</v>
      </c>
      <c r="M30" s="2" t="s">
        <v>583</v>
      </c>
      <c r="N30" s="2" t="s">
        <v>584</v>
      </c>
      <c r="O30" s="2" t="s">
        <v>585</v>
      </c>
      <c r="P30" s="2" t="s">
        <v>586</v>
      </c>
      <c r="Q30" s="2" t="s">
        <v>587</v>
      </c>
      <c r="R30" s="2" t="s">
        <v>588</v>
      </c>
      <c r="S30" s="2" t="s">
        <v>589</v>
      </c>
      <c r="T30" s="2" t="s">
        <v>590</v>
      </c>
      <c r="U30" s="2" t="s">
        <v>591</v>
      </c>
      <c r="V30" s="2" t="s">
        <v>592</v>
      </c>
      <c r="W30" s="2" t="s">
        <v>593</v>
      </c>
      <c r="X30" s="2" t="s">
        <v>37</v>
      </c>
      <c r="Y30" s="4" t="s">
        <v>55</v>
      </c>
      <c r="Z30" s="4" t="s">
        <v>56</v>
      </c>
      <c r="AA30" s="4" t="s">
        <v>57</v>
      </c>
      <c r="AB30" s="4">
        <v>1348</v>
      </c>
      <c r="AC30" s="4">
        <v>29</v>
      </c>
      <c r="AD30" s="4">
        <v>79</v>
      </c>
      <c r="AE30" s="2" t="s">
        <v>58</v>
      </c>
      <c r="AF30" s="2" t="s">
        <v>59</v>
      </c>
      <c r="AG30" s="2" t="s">
        <v>60</v>
      </c>
      <c r="AH30" s="2" t="s">
        <v>594</v>
      </c>
      <c r="AI30" s="2" t="s">
        <v>62</v>
      </c>
    </row>
    <row r="31" spans="1:35" x14ac:dyDescent="0.25">
      <c r="A31" s="2" t="s">
        <v>595</v>
      </c>
      <c r="B31" s="2" t="s">
        <v>596</v>
      </c>
      <c r="C31" s="2" t="s">
        <v>37</v>
      </c>
      <c r="D31" s="2" t="s">
        <v>38</v>
      </c>
      <c r="E31" s="2" t="s">
        <v>597</v>
      </c>
      <c r="F31" s="2">
        <f>1-555-1030</f>
        <v>-1584</v>
      </c>
      <c r="G31" s="2" t="b">
        <v>1</v>
      </c>
      <c r="H31" s="2" t="b">
        <v>1</v>
      </c>
      <c r="I31" s="2" t="s">
        <v>598</v>
      </c>
      <c r="J31" s="2" t="s">
        <v>599</v>
      </c>
      <c r="K31" s="2" t="s">
        <v>600</v>
      </c>
      <c r="L31" s="2" t="s">
        <v>601</v>
      </c>
      <c r="M31" s="2" t="s">
        <v>602</v>
      </c>
      <c r="N31" s="2" t="s">
        <v>603</v>
      </c>
      <c r="O31" s="2" t="s">
        <v>604</v>
      </c>
      <c r="P31" s="2" t="s">
        <v>605</v>
      </c>
      <c r="Q31" s="2" t="s">
        <v>606</v>
      </c>
      <c r="R31" s="2" t="s">
        <v>607</v>
      </c>
      <c r="S31" s="2" t="s">
        <v>608</v>
      </c>
      <c r="T31" s="2" t="s">
        <v>609</v>
      </c>
      <c r="U31" s="2" t="s">
        <v>610</v>
      </c>
      <c r="V31" s="2" t="s">
        <v>611</v>
      </c>
      <c r="W31" s="2" t="s">
        <v>612</v>
      </c>
      <c r="X31" s="2" t="s">
        <v>37</v>
      </c>
      <c r="Y31" s="4" t="s">
        <v>55</v>
      </c>
      <c r="Z31" s="4" t="s">
        <v>56</v>
      </c>
      <c r="AA31" s="4" t="s">
        <v>57</v>
      </c>
      <c r="AB31" s="4">
        <v>1360</v>
      </c>
      <c r="AC31" s="4">
        <v>30</v>
      </c>
      <c r="AD31" s="4">
        <v>80</v>
      </c>
      <c r="AE31" s="2" t="s">
        <v>58</v>
      </c>
      <c r="AF31" s="2" t="s">
        <v>59</v>
      </c>
      <c r="AG31" s="2" t="s">
        <v>60</v>
      </c>
      <c r="AH31" s="2" t="s">
        <v>613</v>
      </c>
      <c r="AI31" s="2" t="s">
        <v>62</v>
      </c>
    </row>
    <row r="32" spans="1:35" x14ac:dyDescent="0.25">
      <c r="A32" s="2" t="s">
        <v>614</v>
      </c>
      <c r="B32" s="2" t="s">
        <v>615</v>
      </c>
      <c r="C32" s="2" t="s">
        <v>37</v>
      </c>
      <c r="D32" s="2" t="s">
        <v>38</v>
      </c>
      <c r="E32" s="2" t="s">
        <v>616</v>
      </c>
      <c r="F32" s="2">
        <f>1-555-1031</f>
        <v>-1585</v>
      </c>
      <c r="G32" s="2" t="b">
        <v>1</v>
      </c>
      <c r="H32" s="2" t="b">
        <v>1</v>
      </c>
      <c r="I32" s="2" t="s">
        <v>617</v>
      </c>
      <c r="J32" s="2" t="s">
        <v>618</v>
      </c>
      <c r="K32" s="2" t="s">
        <v>619</v>
      </c>
      <c r="L32" s="2" t="s">
        <v>620</v>
      </c>
      <c r="M32" s="2" t="s">
        <v>621</v>
      </c>
      <c r="N32" s="2" t="s">
        <v>622</v>
      </c>
      <c r="O32" s="2" t="s">
        <v>623</v>
      </c>
      <c r="P32" s="2" t="s">
        <v>624</v>
      </c>
      <c r="Q32" s="2" t="s">
        <v>625</v>
      </c>
      <c r="R32" s="2" t="s">
        <v>626</v>
      </c>
      <c r="S32" s="2" t="s">
        <v>627</v>
      </c>
      <c r="T32" s="2" t="s">
        <v>628</v>
      </c>
      <c r="U32" s="2" t="s">
        <v>629</v>
      </c>
      <c r="V32" s="2" t="s">
        <v>630</v>
      </c>
      <c r="W32" s="2" t="s">
        <v>631</v>
      </c>
      <c r="X32" s="2" t="s">
        <v>37</v>
      </c>
      <c r="Y32" s="4" t="s">
        <v>55</v>
      </c>
      <c r="Z32" s="4" t="s">
        <v>56</v>
      </c>
      <c r="AA32" s="4" t="s">
        <v>57</v>
      </c>
      <c r="AB32" s="4">
        <v>1372</v>
      </c>
      <c r="AC32" s="4">
        <v>31</v>
      </c>
      <c r="AD32" s="4">
        <v>81</v>
      </c>
      <c r="AE32" s="2" t="s">
        <v>58</v>
      </c>
      <c r="AF32" s="2" t="s">
        <v>59</v>
      </c>
      <c r="AG32" s="2" t="s">
        <v>60</v>
      </c>
      <c r="AH32" s="2" t="s">
        <v>632</v>
      </c>
      <c r="AI32" s="2" t="s">
        <v>62</v>
      </c>
    </row>
    <row r="33" spans="1:35" x14ac:dyDescent="0.25">
      <c r="A33" s="2" t="s">
        <v>633</v>
      </c>
      <c r="B33" s="2" t="s">
        <v>634</v>
      </c>
      <c r="C33" s="2" t="s">
        <v>37</v>
      </c>
      <c r="D33" s="2" t="s">
        <v>38</v>
      </c>
      <c r="E33" s="2" t="s">
        <v>635</v>
      </c>
      <c r="F33" s="2">
        <f>1-555-1032</f>
        <v>-1586</v>
      </c>
      <c r="G33" s="2" t="b">
        <v>1</v>
      </c>
      <c r="H33" s="2" t="b">
        <v>1</v>
      </c>
      <c r="I33" s="2" t="s">
        <v>636</v>
      </c>
      <c r="J33" s="2" t="s">
        <v>637</v>
      </c>
      <c r="K33" s="2" t="s">
        <v>638</v>
      </c>
      <c r="L33" s="2" t="s">
        <v>639</v>
      </c>
      <c r="M33" s="2" t="s">
        <v>640</v>
      </c>
      <c r="N33" s="2" t="s">
        <v>641</v>
      </c>
      <c r="O33" s="2" t="s">
        <v>642</v>
      </c>
      <c r="P33" s="2" t="s">
        <v>643</v>
      </c>
      <c r="Q33" s="2" t="s">
        <v>644</v>
      </c>
      <c r="R33" s="2" t="s">
        <v>645</v>
      </c>
      <c r="S33" s="2" t="s">
        <v>646</v>
      </c>
      <c r="T33" s="2" t="s">
        <v>647</v>
      </c>
      <c r="U33" s="2" t="s">
        <v>648</v>
      </c>
      <c r="V33" s="2" t="s">
        <v>649</v>
      </c>
      <c r="W33" s="2" t="s">
        <v>650</v>
      </c>
      <c r="X33" s="2" t="s">
        <v>37</v>
      </c>
      <c r="Y33" s="4" t="s">
        <v>55</v>
      </c>
      <c r="Z33" s="4" t="s">
        <v>56</v>
      </c>
      <c r="AA33" s="4" t="s">
        <v>57</v>
      </c>
      <c r="AB33" s="4">
        <v>1384</v>
      </c>
      <c r="AC33" s="4">
        <v>32</v>
      </c>
      <c r="AD33" s="4">
        <v>82</v>
      </c>
      <c r="AE33" s="2" t="s">
        <v>58</v>
      </c>
      <c r="AF33" s="2" t="s">
        <v>59</v>
      </c>
      <c r="AG33" s="2" t="s">
        <v>60</v>
      </c>
      <c r="AH33" s="2" t="s">
        <v>651</v>
      </c>
      <c r="AI33" s="2" t="s">
        <v>62</v>
      </c>
    </row>
    <row r="34" spans="1:35" x14ac:dyDescent="0.25">
      <c r="A34" s="2" t="s">
        <v>652</v>
      </c>
      <c r="B34" s="2" t="s">
        <v>653</v>
      </c>
      <c r="C34" s="2" t="s">
        <v>37</v>
      </c>
      <c r="D34" s="2" t="s">
        <v>38</v>
      </c>
      <c r="E34" s="2" t="s">
        <v>654</v>
      </c>
      <c r="F34" s="2">
        <f>1-555-1033</f>
        <v>-1587</v>
      </c>
      <c r="G34" s="2" t="b">
        <v>1</v>
      </c>
      <c r="H34" s="2" t="b">
        <v>1</v>
      </c>
      <c r="I34" s="2" t="s">
        <v>655</v>
      </c>
      <c r="J34" s="2" t="s">
        <v>656</v>
      </c>
      <c r="K34" s="2" t="s">
        <v>657</v>
      </c>
      <c r="L34" s="2" t="s">
        <v>658</v>
      </c>
      <c r="M34" s="2" t="s">
        <v>659</v>
      </c>
      <c r="N34" s="2" t="s">
        <v>660</v>
      </c>
      <c r="O34" s="2" t="s">
        <v>661</v>
      </c>
      <c r="P34" s="2" t="s">
        <v>662</v>
      </c>
      <c r="Q34" s="2" t="s">
        <v>663</v>
      </c>
      <c r="R34" s="2" t="s">
        <v>664</v>
      </c>
      <c r="S34" s="2" t="s">
        <v>665</v>
      </c>
      <c r="T34" s="2" t="s">
        <v>666</v>
      </c>
      <c r="U34" s="2" t="s">
        <v>667</v>
      </c>
      <c r="V34" s="2" t="s">
        <v>668</v>
      </c>
      <c r="W34" s="2" t="s">
        <v>669</v>
      </c>
      <c r="X34" s="2" t="s">
        <v>37</v>
      </c>
      <c r="Y34" s="4" t="s">
        <v>55</v>
      </c>
      <c r="Z34" s="4" t="s">
        <v>56</v>
      </c>
      <c r="AA34" s="4" t="s">
        <v>57</v>
      </c>
      <c r="AB34" s="4">
        <v>1396</v>
      </c>
      <c r="AC34" s="4">
        <v>33</v>
      </c>
      <c r="AD34" s="4">
        <v>83</v>
      </c>
      <c r="AE34" s="2" t="s">
        <v>58</v>
      </c>
      <c r="AF34" s="2" t="s">
        <v>59</v>
      </c>
      <c r="AG34" s="2" t="s">
        <v>60</v>
      </c>
      <c r="AH34" s="2" t="s">
        <v>670</v>
      </c>
      <c r="AI34" s="2" t="s">
        <v>62</v>
      </c>
    </row>
    <row r="35" spans="1:35" x14ac:dyDescent="0.25">
      <c r="A35" s="2" t="s">
        <v>671</v>
      </c>
      <c r="B35" s="2" t="s">
        <v>672</v>
      </c>
      <c r="C35" s="2" t="s">
        <v>37</v>
      </c>
      <c r="D35" s="2" t="s">
        <v>38</v>
      </c>
      <c r="E35" s="2" t="s">
        <v>673</v>
      </c>
      <c r="F35" s="2">
        <f>1-555-1034</f>
        <v>-1588</v>
      </c>
      <c r="G35" s="2" t="b">
        <v>1</v>
      </c>
      <c r="H35" s="2" t="b">
        <v>1</v>
      </c>
      <c r="I35" s="2" t="s">
        <v>674</v>
      </c>
      <c r="J35" s="2" t="s">
        <v>675</v>
      </c>
      <c r="K35" s="2" t="s">
        <v>676</v>
      </c>
      <c r="L35" s="2" t="s">
        <v>677</v>
      </c>
      <c r="M35" s="2" t="s">
        <v>678</v>
      </c>
      <c r="N35" s="2" t="s">
        <v>679</v>
      </c>
      <c r="O35" s="2" t="s">
        <v>680</v>
      </c>
      <c r="P35" s="2" t="s">
        <v>681</v>
      </c>
      <c r="Q35" s="2" t="s">
        <v>682</v>
      </c>
      <c r="R35" s="2" t="s">
        <v>683</v>
      </c>
      <c r="S35" s="2" t="s">
        <v>684</v>
      </c>
      <c r="T35" s="2" t="s">
        <v>685</v>
      </c>
      <c r="U35" s="2" t="s">
        <v>686</v>
      </c>
      <c r="V35" s="2" t="s">
        <v>687</v>
      </c>
      <c r="W35" s="2" t="s">
        <v>688</v>
      </c>
      <c r="X35" s="2" t="s">
        <v>37</v>
      </c>
      <c r="Y35" s="4" t="s">
        <v>55</v>
      </c>
      <c r="Z35" s="4" t="s">
        <v>56</v>
      </c>
      <c r="AA35" s="4" t="s">
        <v>57</v>
      </c>
      <c r="AB35" s="4">
        <v>1408</v>
      </c>
      <c r="AC35" s="4">
        <v>34</v>
      </c>
      <c r="AD35" s="4">
        <v>84</v>
      </c>
      <c r="AE35" s="2" t="s">
        <v>58</v>
      </c>
      <c r="AF35" s="2" t="s">
        <v>59</v>
      </c>
      <c r="AG35" s="2" t="s">
        <v>60</v>
      </c>
      <c r="AH35" s="2" t="s">
        <v>689</v>
      </c>
      <c r="AI35" s="2" t="s">
        <v>62</v>
      </c>
    </row>
    <row r="36" spans="1:35" x14ac:dyDescent="0.25">
      <c r="A36" s="2" t="s">
        <v>690</v>
      </c>
      <c r="B36" s="2" t="s">
        <v>691</v>
      </c>
      <c r="C36" s="2" t="s">
        <v>37</v>
      </c>
      <c r="D36" s="2" t="s">
        <v>38</v>
      </c>
      <c r="E36" s="2" t="s">
        <v>692</v>
      </c>
      <c r="F36" s="2">
        <f>1-555-1035</f>
        <v>-1589</v>
      </c>
      <c r="G36" s="2" t="b">
        <v>1</v>
      </c>
      <c r="H36" s="2" t="b">
        <v>1</v>
      </c>
      <c r="I36" s="2" t="s">
        <v>693</v>
      </c>
      <c r="J36" s="2" t="s">
        <v>694</v>
      </c>
      <c r="K36" s="2" t="s">
        <v>695</v>
      </c>
      <c r="L36" s="2" t="s">
        <v>696</v>
      </c>
      <c r="M36" s="2" t="s">
        <v>697</v>
      </c>
      <c r="N36" s="2" t="s">
        <v>698</v>
      </c>
      <c r="O36" s="2" t="s">
        <v>699</v>
      </c>
      <c r="P36" s="2" t="s">
        <v>700</v>
      </c>
      <c r="Q36" s="2" t="s">
        <v>701</v>
      </c>
      <c r="R36" s="2" t="s">
        <v>702</v>
      </c>
      <c r="S36" s="2" t="s">
        <v>703</v>
      </c>
      <c r="T36" s="2" t="s">
        <v>704</v>
      </c>
      <c r="U36" s="2" t="s">
        <v>705</v>
      </c>
      <c r="V36" s="2" t="s">
        <v>706</v>
      </c>
      <c r="W36" s="2" t="s">
        <v>707</v>
      </c>
      <c r="X36" s="2" t="s">
        <v>37</v>
      </c>
      <c r="Y36" s="4" t="s">
        <v>55</v>
      </c>
      <c r="Z36" s="4" t="s">
        <v>56</v>
      </c>
      <c r="AA36" s="4" t="s">
        <v>57</v>
      </c>
      <c r="AB36" s="4">
        <v>1420</v>
      </c>
      <c r="AC36" s="4">
        <v>35</v>
      </c>
      <c r="AD36" s="4">
        <v>85</v>
      </c>
      <c r="AE36" s="2" t="s">
        <v>58</v>
      </c>
      <c r="AF36" s="2" t="s">
        <v>59</v>
      </c>
      <c r="AG36" s="2" t="s">
        <v>60</v>
      </c>
      <c r="AH36" s="2" t="s">
        <v>708</v>
      </c>
      <c r="AI36" s="2" t="s">
        <v>62</v>
      </c>
    </row>
    <row r="37" spans="1:35" x14ac:dyDescent="0.25">
      <c r="A37" s="2" t="s">
        <v>709</v>
      </c>
      <c r="B37" s="2" t="s">
        <v>710</v>
      </c>
      <c r="C37" s="2" t="s">
        <v>37</v>
      </c>
      <c r="D37" s="2" t="s">
        <v>38</v>
      </c>
      <c r="E37" s="2" t="s">
        <v>711</v>
      </c>
      <c r="F37" s="2">
        <f>1-555-1036</f>
        <v>-1590</v>
      </c>
      <c r="G37" s="2" t="b">
        <v>1</v>
      </c>
      <c r="H37" s="2" t="b">
        <v>1</v>
      </c>
      <c r="I37" s="2" t="s">
        <v>712</v>
      </c>
      <c r="J37" s="2" t="s">
        <v>713</v>
      </c>
      <c r="K37" s="2" t="s">
        <v>714</v>
      </c>
      <c r="L37" s="2" t="s">
        <v>715</v>
      </c>
      <c r="M37" s="2" t="s">
        <v>716</v>
      </c>
      <c r="N37" s="2" t="s">
        <v>717</v>
      </c>
      <c r="O37" s="2" t="s">
        <v>718</v>
      </c>
      <c r="P37" s="2" t="s">
        <v>719</v>
      </c>
      <c r="Q37" s="2" t="s">
        <v>720</v>
      </c>
      <c r="R37" s="2" t="s">
        <v>721</v>
      </c>
      <c r="S37" s="2" t="s">
        <v>722</v>
      </c>
      <c r="T37" s="2" t="s">
        <v>723</v>
      </c>
      <c r="U37" s="2" t="s">
        <v>724</v>
      </c>
      <c r="V37" s="2" t="s">
        <v>725</v>
      </c>
      <c r="W37" s="2" t="s">
        <v>726</v>
      </c>
      <c r="X37" s="2" t="s">
        <v>37</v>
      </c>
      <c r="Y37" s="4" t="s">
        <v>55</v>
      </c>
      <c r="Z37" s="4" t="s">
        <v>56</v>
      </c>
      <c r="AA37" s="4" t="s">
        <v>57</v>
      </c>
      <c r="AB37" s="4">
        <v>1432</v>
      </c>
      <c r="AC37" s="4">
        <v>36</v>
      </c>
      <c r="AD37" s="4">
        <v>86</v>
      </c>
      <c r="AE37" s="2" t="s">
        <v>58</v>
      </c>
      <c r="AF37" s="2" t="s">
        <v>59</v>
      </c>
      <c r="AG37" s="2" t="s">
        <v>60</v>
      </c>
      <c r="AH37" s="2" t="s">
        <v>727</v>
      </c>
      <c r="AI37" s="2" t="s">
        <v>62</v>
      </c>
    </row>
    <row r="38" spans="1:35" x14ac:dyDescent="0.25">
      <c r="A38" s="2" t="s">
        <v>728</v>
      </c>
      <c r="B38" s="2" t="s">
        <v>729</v>
      </c>
      <c r="C38" s="2" t="s">
        <v>37</v>
      </c>
      <c r="D38" s="2" t="s">
        <v>38</v>
      </c>
      <c r="E38" s="2" t="s">
        <v>730</v>
      </c>
      <c r="F38" s="2">
        <f>1-555-1037</f>
        <v>-1591</v>
      </c>
      <c r="G38" s="2" t="b">
        <v>1</v>
      </c>
      <c r="H38" s="2" t="b">
        <v>1</v>
      </c>
      <c r="I38" s="2" t="s">
        <v>731</v>
      </c>
      <c r="J38" s="2" t="s">
        <v>732</v>
      </c>
      <c r="K38" s="2" t="s">
        <v>733</v>
      </c>
      <c r="L38" s="2" t="s">
        <v>734</v>
      </c>
      <c r="M38" s="2" t="s">
        <v>735</v>
      </c>
      <c r="N38" s="2" t="s">
        <v>736</v>
      </c>
      <c r="O38" s="2" t="s">
        <v>737</v>
      </c>
      <c r="P38" s="2" t="s">
        <v>738</v>
      </c>
      <c r="Q38" s="2" t="s">
        <v>739</v>
      </c>
      <c r="R38" s="2" t="s">
        <v>740</v>
      </c>
      <c r="S38" s="2" t="s">
        <v>741</v>
      </c>
      <c r="T38" s="2" t="s">
        <v>742</v>
      </c>
      <c r="U38" s="2" t="s">
        <v>743</v>
      </c>
      <c r="V38" s="2" t="s">
        <v>744</v>
      </c>
      <c r="W38" s="2" t="s">
        <v>745</v>
      </c>
      <c r="X38" s="2" t="s">
        <v>37</v>
      </c>
      <c r="Y38" s="4" t="s">
        <v>55</v>
      </c>
      <c r="Z38" s="4" t="s">
        <v>56</v>
      </c>
      <c r="AA38" s="4" t="s">
        <v>57</v>
      </c>
      <c r="AB38" s="4">
        <v>1444</v>
      </c>
      <c r="AC38" s="4">
        <v>37</v>
      </c>
      <c r="AD38" s="4">
        <v>87</v>
      </c>
      <c r="AE38" s="2" t="s">
        <v>58</v>
      </c>
      <c r="AF38" s="2" t="s">
        <v>59</v>
      </c>
      <c r="AG38" s="2" t="s">
        <v>60</v>
      </c>
      <c r="AH38" s="2" t="s">
        <v>746</v>
      </c>
      <c r="AI38" s="2" t="s">
        <v>62</v>
      </c>
    </row>
    <row r="39" spans="1:35" x14ac:dyDescent="0.25">
      <c r="A39" s="2" t="s">
        <v>747</v>
      </c>
      <c r="B39" s="2" t="s">
        <v>748</v>
      </c>
      <c r="C39" s="2" t="s">
        <v>37</v>
      </c>
      <c r="D39" s="2" t="s">
        <v>38</v>
      </c>
      <c r="E39" s="2" t="s">
        <v>749</v>
      </c>
      <c r="F39" s="2">
        <f>1-555-1038</f>
        <v>-1592</v>
      </c>
      <c r="G39" s="2" t="b">
        <v>1</v>
      </c>
      <c r="H39" s="2" t="b">
        <v>1</v>
      </c>
      <c r="I39" s="2" t="s">
        <v>750</v>
      </c>
      <c r="J39" s="2" t="s">
        <v>751</v>
      </c>
      <c r="K39" s="2" t="s">
        <v>752</v>
      </c>
      <c r="L39" s="2" t="s">
        <v>753</v>
      </c>
      <c r="M39" s="2" t="s">
        <v>754</v>
      </c>
      <c r="N39" s="2" t="s">
        <v>755</v>
      </c>
      <c r="O39" s="2" t="s">
        <v>756</v>
      </c>
      <c r="P39" s="2" t="s">
        <v>757</v>
      </c>
      <c r="Q39" s="2" t="s">
        <v>758</v>
      </c>
      <c r="R39" s="2" t="s">
        <v>759</v>
      </c>
      <c r="S39" s="2" t="s">
        <v>760</v>
      </c>
      <c r="T39" s="2" t="s">
        <v>761</v>
      </c>
      <c r="U39" s="2" t="s">
        <v>762</v>
      </c>
      <c r="V39" s="2" t="s">
        <v>763</v>
      </c>
      <c r="W39" s="2" t="s">
        <v>764</v>
      </c>
      <c r="X39" s="2" t="s">
        <v>37</v>
      </c>
      <c r="Y39" s="4" t="s">
        <v>55</v>
      </c>
      <c r="Z39" s="4" t="s">
        <v>56</v>
      </c>
      <c r="AA39" s="4" t="s">
        <v>57</v>
      </c>
      <c r="AB39" s="4">
        <v>1456</v>
      </c>
      <c r="AC39" s="4">
        <v>38</v>
      </c>
      <c r="AD39" s="4">
        <v>88</v>
      </c>
      <c r="AE39" s="2" t="s">
        <v>58</v>
      </c>
      <c r="AF39" s="2" t="s">
        <v>59</v>
      </c>
      <c r="AG39" s="2" t="s">
        <v>60</v>
      </c>
      <c r="AH39" s="2" t="s">
        <v>765</v>
      </c>
      <c r="AI39" s="2" t="s">
        <v>62</v>
      </c>
    </row>
    <row r="40" spans="1:35" x14ac:dyDescent="0.25">
      <c r="A40" s="2" t="s">
        <v>766</v>
      </c>
      <c r="B40" s="2" t="s">
        <v>767</v>
      </c>
      <c r="C40" s="2" t="s">
        <v>37</v>
      </c>
      <c r="D40" s="2" t="s">
        <v>38</v>
      </c>
      <c r="E40" s="2" t="s">
        <v>768</v>
      </c>
      <c r="F40" s="2">
        <f>1-555-1039</f>
        <v>-1593</v>
      </c>
      <c r="G40" s="2" t="b">
        <v>1</v>
      </c>
      <c r="H40" s="2" t="b">
        <v>1</v>
      </c>
      <c r="I40" s="2" t="s">
        <v>769</v>
      </c>
      <c r="J40" s="2" t="s">
        <v>770</v>
      </c>
      <c r="K40" s="2" t="s">
        <v>771</v>
      </c>
      <c r="L40" s="2" t="s">
        <v>772</v>
      </c>
      <c r="M40" s="2" t="s">
        <v>773</v>
      </c>
      <c r="N40" s="2" t="s">
        <v>774</v>
      </c>
      <c r="O40" s="2" t="s">
        <v>775</v>
      </c>
      <c r="P40" s="2" t="s">
        <v>776</v>
      </c>
      <c r="Q40" s="2" t="s">
        <v>777</v>
      </c>
      <c r="R40" s="2" t="s">
        <v>778</v>
      </c>
      <c r="S40" s="2" t="s">
        <v>779</v>
      </c>
      <c r="T40" s="2" t="s">
        <v>780</v>
      </c>
      <c r="U40" s="2" t="s">
        <v>781</v>
      </c>
      <c r="V40" s="2" t="s">
        <v>782</v>
      </c>
      <c r="W40" s="2" t="s">
        <v>783</v>
      </c>
      <c r="X40" s="2" t="s">
        <v>37</v>
      </c>
      <c r="Y40" s="4" t="s">
        <v>55</v>
      </c>
      <c r="Z40" s="4" t="s">
        <v>56</v>
      </c>
      <c r="AA40" s="4" t="s">
        <v>57</v>
      </c>
      <c r="AB40" s="4">
        <v>1468</v>
      </c>
      <c r="AC40" s="4">
        <v>39</v>
      </c>
      <c r="AD40" s="4">
        <v>89</v>
      </c>
      <c r="AE40" s="2" t="s">
        <v>58</v>
      </c>
      <c r="AF40" s="2" t="s">
        <v>59</v>
      </c>
      <c r="AG40" s="2" t="s">
        <v>60</v>
      </c>
      <c r="AH40" s="2" t="s">
        <v>784</v>
      </c>
      <c r="AI40" s="2" t="s">
        <v>62</v>
      </c>
    </row>
    <row r="41" spans="1:35" x14ac:dyDescent="0.25">
      <c r="A41" s="2" t="s">
        <v>785</v>
      </c>
      <c r="B41" s="2" t="s">
        <v>786</v>
      </c>
      <c r="C41" s="2" t="s">
        <v>37</v>
      </c>
      <c r="D41" s="2" t="s">
        <v>38</v>
      </c>
      <c r="E41" s="2" t="s">
        <v>787</v>
      </c>
      <c r="F41" s="2">
        <f>1-555-1040</f>
        <v>-1594</v>
      </c>
      <c r="G41" s="2" t="b">
        <v>1</v>
      </c>
      <c r="H41" s="2" t="b">
        <v>1</v>
      </c>
      <c r="I41" s="2" t="s">
        <v>788</v>
      </c>
      <c r="J41" s="2" t="s">
        <v>789</v>
      </c>
      <c r="K41" s="2" t="s">
        <v>790</v>
      </c>
      <c r="L41" s="2" t="s">
        <v>791</v>
      </c>
      <c r="M41" s="2" t="s">
        <v>792</v>
      </c>
      <c r="N41" s="2" t="s">
        <v>793</v>
      </c>
      <c r="O41" s="2" t="s">
        <v>794</v>
      </c>
      <c r="P41" s="2" t="s">
        <v>795</v>
      </c>
      <c r="Q41" s="2" t="s">
        <v>796</v>
      </c>
      <c r="R41" s="2" t="s">
        <v>797</v>
      </c>
      <c r="S41" s="2" t="s">
        <v>798</v>
      </c>
      <c r="T41" s="2" t="s">
        <v>799</v>
      </c>
      <c r="U41" s="2" t="s">
        <v>800</v>
      </c>
      <c r="V41" s="2" t="s">
        <v>801</v>
      </c>
      <c r="W41" s="2" t="s">
        <v>802</v>
      </c>
      <c r="X41" s="2" t="s">
        <v>37</v>
      </c>
      <c r="Y41" s="4" t="s">
        <v>55</v>
      </c>
      <c r="Z41" s="4" t="s">
        <v>56</v>
      </c>
      <c r="AA41" s="4" t="s">
        <v>57</v>
      </c>
      <c r="AB41" s="4">
        <v>1480</v>
      </c>
      <c r="AC41" s="4">
        <v>20</v>
      </c>
      <c r="AD41" s="4">
        <v>90</v>
      </c>
      <c r="AE41" s="2" t="s">
        <v>58</v>
      </c>
      <c r="AF41" s="2" t="s">
        <v>59</v>
      </c>
      <c r="AG41" s="2" t="s">
        <v>60</v>
      </c>
      <c r="AH41" s="2" t="s">
        <v>803</v>
      </c>
      <c r="AI41" s="2" t="s">
        <v>62</v>
      </c>
    </row>
    <row r="42" spans="1:35" x14ac:dyDescent="0.25">
      <c r="A42" s="2" t="s">
        <v>804</v>
      </c>
      <c r="B42" s="2" t="s">
        <v>805</v>
      </c>
      <c r="C42" s="2" t="s">
        <v>37</v>
      </c>
      <c r="D42" s="2" t="s">
        <v>38</v>
      </c>
      <c r="E42" s="2" t="s">
        <v>806</v>
      </c>
      <c r="F42" s="2">
        <f>1-555-1041</f>
        <v>-1595</v>
      </c>
      <c r="G42" s="2" t="b">
        <v>1</v>
      </c>
      <c r="H42" s="2" t="b">
        <v>1</v>
      </c>
      <c r="I42" s="2" t="s">
        <v>807</v>
      </c>
      <c r="J42" s="2" t="s">
        <v>808</v>
      </c>
      <c r="K42" s="2" t="s">
        <v>809</v>
      </c>
      <c r="L42" s="2" t="s">
        <v>810</v>
      </c>
      <c r="M42" s="2" t="s">
        <v>811</v>
      </c>
      <c r="N42" s="2" t="s">
        <v>812</v>
      </c>
      <c r="O42" s="2" t="s">
        <v>813</v>
      </c>
      <c r="P42" s="2" t="s">
        <v>814</v>
      </c>
      <c r="Q42" s="2" t="s">
        <v>815</v>
      </c>
      <c r="R42" s="2" t="s">
        <v>816</v>
      </c>
      <c r="S42" s="2" t="s">
        <v>817</v>
      </c>
      <c r="T42" s="2" t="s">
        <v>818</v>
      </c>
      <c r="U42" s="2" t="s">
        <v>819</v>
      </c>
      <c r="V42" s="2" t="s">
        <v>820</v>
      </c>
      <c r="W42" s="2" t="s">
        <v>821</v>
      </c>
      <c r="X42" s="2" t="s">
        <v>37</v>
      </c>
      <c r="Y42" s="4" t="s">
        <v>55</v>
      </c>
      <c r="Z42" s="4" t="s">
        <v>56</v>
      </c>
      <c r="AA42" s="4" t="s">
        <v>57</v>
      </c>
      <c r="AB42" s="4">
        <v>1492</v>
      </c>
      <c r="AC42" s="4">
        <v>21</v>
      </c>
      <c r="AD42" s="4">
        <v>91</v>
      </c>
      <c r="AE42" s="2" t="s">
        <v>58</v>
      </c>
      <c r="AF42" s="2" t="s">
        <v>59</v>
      </c>
      <c r="AG42" s="2" t="s">
        <v>60</v>
      </c>
      <c r="AH42" s="2" t="s">
        <v>822</v>
      </c>
      <c r="AI42" s="2" t="s">
        <v>62</v>
      </c>
    </row>
    <row r="43" spans="1:35" x14ac:dyDescent="0.25">
      <c r="A43" s="2" t="s">
        <v>823</v>
      </c>
      <c r="B43" s="2" t="s">
        <v>824</v>
      </c>
      <c r="C43" s="2" t="s">
        <v>37</v>
      </c>
      <c r="D43" s="2" t="s">
        <v>38</v>
      </c>
      <c r="E43" s="2" t="s">
        <v>825</v>
      </c>
      <c r="F43" s="2">
        <f>1-555-1042</f>
        <v>-1596</v>
      </c>
      <c r="G43" s="2" t="b">
        <v>1</v>
      </c>
      <c r="H43" s="2" t="b">
        <v>1</v>
      </c>
      <c r="I43" s="2" t="s">
        <v>826</v>
      </c>
      <c r="J43" s="2" t="s">
        <v>827</v>
      </c>
      <c r="K43" s="2" t="s">
        <v>828</v>
      </c>
      <c r="L43" s="2" t="s">
        <v>829</v>
      </c>
      <c r="M43" s="2" t="s">
        <v>830</v>
      </c>
      <c r="N43" s="2" t="s">
        <v>831</v>
      </c>
      <c r="O43" s="2" t="s">
        <v>832</v>
      </c>
      <c r="P43" s="2" t="s">
        <v>833</v>
      </c>
      <c r="Q43" s="2" t="s">
        <v>834</v>
      </c>
      <c r="R43" s="2" t="s">
        <v>835</v>
      </c>
      <c r="S43" s="2" t="s">
        <v>836</v>
      </c>
      <c r="T43" s="2" t="s">
        <v>837</v>
      </c>
      <c r="U43" s="2" t="s">
        <v>838</v>
      </c>
      <c r="V43" s="2" t="s">
        <v>839</v>
      </c>
      <c r="W43" s="2" t="s">
        <v>840</v>
      </c>
      <c r="X43" s="2" t="s">
        <v>37</v>
      </c>
      <c r="Y43" s="4" t="s">
        <v>55</v>
      </c>
      <c r="Z43" s="4" t="s">
        <v>56</v>
      </c>
      <c r="AA43" s="4" t="s">
        <v>57</v>
      </c>
      <c r="AB43" s="4">
        <v>1504</v>
      </c>
      <c r="AC43" s="4">
        <v>22</v>
      </c>
      <c r="AD43" s="4">
        <v>92</v>
      </c>
      <c r="AE43" s="2" t="s">
        <v>58</v>
      </c>
      <c r="AF43" s="2" t="s">
        <v>59</v>
      </c>
      <c r="AG43" s="2" t="s">
        <v>60</v>
      </c>
      <c r="AH43" s="2" t="s">
        <v>841</v>
      </c>
      <c r="AI43" s="2" t="s">
        <v>62</v>
      </c>
    </row>
    <row r="44" spans="1:35" x14ac:dyDescent="0.25">
      <c r="A44" s="2" t="s">
        <v>842</v>
      </c>
      <c r="B44" s="2" t="s">
        <v>843</v>
      </c>
      <c r="C44" s="2" t="s">
        <v>37</v>
      </c>
      <c r="D44" s="2" t="s">
        <v>38</v>
      </c>
      <c r="E44" s="2" t="s">
        <v>844</v>
      </c>
      <c r="F44" s="2">
        <f>1-555-1043</f>
        <v>-1597</v>
      </c>
      <c r="G44" s="2" t="b">
        <v>1</v>
      </c>
      <c r="H44" s="2" t="b">
        <v>1</v>
      </c>
      <c r="I44" s="2" t="s">
        <v>845</v>
      </c>
      <c r="J44" s="2" t="s">
        <v>846</v>
      </c>
      <c r="K44" s="2" t="s">
        <v>847</v>
      </c>
      <c r="L44" s="2" t="s">
        <v>848</v>
      </c>
      <c r="M44" s="2" t="s">
        <v>849</v>
      </c>
      <c r="N44" s="2" t="s">
        <v>850</v>
      </c>
      <c r="O44" s="2" t="s">
        <v>851</v>
      </c>
      <c r="P44" s="2" t="s">
        <v>852</v>
      </c>
      <c r="Q44" s="2" t="s">
        <v>853</v>
      </c>
      <c r="R44" s="2" t="s">
        <v>854</v>
      </c>
      <c r="S44" s="2" t="s">
        <v>855</v>
      </c>
      <c r="T44" s="2" t="s">
        <v>856</v>
      </c>
      <c r="U44" s="2" t="s">
        <v>857</v>
      </c>
      <c r="V44" s="2" t="s">
        <v>858</v>
      </c>
      <c r="W44" s="2" t="s">
        <v>859</v>
      </c>
      <c r="X44" s="2" t="s">
        <v>37</v>
      </c>
      <c r="Y44" s="4" t="s">
        <v>55</v>
      </c>
      <c r="Z44" s="4" t="s">
        <v>56</v>
      </c>
      <c r="AA44" s="4" t="s">
        <v>57</v>
      </c>
      <c r="AB44" s="4">
        <v>1516</v>
      </c>
      <c r="AC44" s="4">
        <v>23</v>
      </c>
      <c r="AD44" s="4">
        <v>93</v>
      </c>
      <c r="AE44" s="2" t="s">
        <v>58</v>
      </c>
      <c r="AF44" s="2" t="s">
        <v>59</v>
      </c>
      <c r="AG44" s="2" t="s">
        <v>60</v>
      </c>
      <c r="AH44" s="2" t="s">
        <v>860</v>
      </c>
      <c r="AI44" s="2" t="s">
        <v>62</v>
      </c>
    </row>
    <row r="45" spans="1:35" x14ac:dyDescent="0.25">
      <c r="A45" s="2" t="s">
        <v>861</v>
      </c>
      <c r="B45" s="2" t="s">
        <v>862</v>
      </c>
      <c r="C45" s="2" t="s">
        <v>37</v>
      </c>
      <c r="D45" s="2" t="s">
        <v>38</v>
      </c>
      <c r="E45" s="2" t="s">
        <v>863</v>
      </c>
      <c r="F45" s="2">
        <f>1-555-1044</f>
        <v>-1598</v>
      </c>
      <c r="G45" s="2" t="b">
        <v>1</v>
      </c>
      <c r="H45" s="2" t="b">
        <v>1</v>
      </c>
      <c r="I45" s="2" t="s">
        <v>864</v>
      </c>
      <c r="J45" s="2" t="s">
        <v>865</v>
      </c>
      <c r="K45" s="2" t="s">
        <v>866</v>
      </c>
      <c r="L45" s="2" t="s">
        <v>867</v>
      </c>
      <c r="M45" s="2" t="s">
        <v>868</v>
      </c>
      <c r="N45" s="2" t="s">
        <v>869</v>
      </c>
      <c r="O45" s="2" t="s">
        <v>870</v>
      </c>
      <c r="P45" s="2" t="s">
        <v>871</v>
      </c>
      <c r="Q45" s="2" t="s">
        <v>872</v>
      </c>
      <c r="R45" s="2" t="s">
        <v>873</v>
      </c>
      <c r="S45" s="2" t="s">
        <v>874</v>
      </c>
      <c r="T45" s="2" t="s">
        <v>875</v>
      </c>
      <c r="U45" s="2" t="s">
        <v>876</v>
      </c>
      <c r="V45" s="2" t="s">
        <v>877</v>
      </c>
      <c r="W45" s="2" t="s">
        <v>878</v>
      </c>
      <c r="X45" s="2" t="s">
        <v>37</v>
      </c>
      <c r="Y45" s="4" t="s">
        <v>55</v>
      </c>
      <c r="Z45" s="4" t="s">
        <v>56</v>
      </c>
      <c r="AA45" s="4" t="s">
        <v>57</v>
      </c>
      <c r="AB45" s="4">
        <v>1528</v>
      </c>
      <c r="AC45" s="4">
        <v>24</v>
      </c>
      <c r="AD45" s="4">
        <v>94</v>
      </c>
      <c r="AE45" s="2" t="s">
        <v>58</v>
      </c>
      <c r="AF45" s="2" t="s">
        <v>59</v>
      </c>
      <c r="AG45" s="2" t="s">
        <v>60</v>
      </c>
      <c r="AH45" s="2" t="s">
        <v>879</v>
      </c>
      <c r="AI45" s="2" t="s">
        <v>62</v>
      </c>
    </row>
    <row r="46" spans="1:35" x14ac:dyDescent="0.25">
      <c r="A46" s="2" t="s">
        <v>880</v>
      </c>
      <c r="B46" s="2" t="s">
        <v>881</v>
      </c>
      <c r="C46" s="2" t="s">
        <v>37</v>
      </c>
      <c r="D46" s="2" t="s">
        <v>38</v>
      </c>
      <c r="E46" s="2" t="s">
        <v>882</v>
      </c>
      <c r="F46" s="2">
        <f>1-555-1045</f>
        <v>-1599</v>
      </c>
      <c r="G46" s="2" t="b">
        <v>1</v>
      </c>
      <c r="H46" s="2" t="b">
        <v>1</v>
      </c>
      <c r="I46" s="2" t="s">
        <v>883</v>
      </c>
      <c r="J46" s="2" t="s">
        <v>884</v>
      </c>
      <c r="K46" s="2" t="s">
        <v>885</v>
      </c>
      <c r="L46" s="2" t="s">
        <v>886</v>
      </c>
      <c r="M46" s="2" t="s">
        <v>887</v>
      </c>
      <c r="N46" s="2" t="s">
        <v>888</v>
      </c>
      <c r="O46" s="2" t="s">
        <v>889</v>
      </c>
      <c r="P46" s="2" t="s">
        <v>890</v>
      </c>
      <c r="Q46" s="2" t="s">
        <v>891</v>
      </c>
      <c r="R46" s="2" t="s">
        <v>892</v>
      </c>
      <c r="S46" s="2" t="s">
        <v>893</v>
      </c>
      <c r="T46" s="2" t="s">
        <v>894</v>
      </c>
      <c r="U46" s="2" t="s">
        <v>895</v>
      </c>
      <c r="V46" s="2" t="s">
        <v>896</v>
      </c>
      <c r="W46" s="2" t="s">
        <v>897</v>
      </c>
      <c r="X46" s="2" t="s">
        <v>37</v>
      </c>
      <c r="Y46" s="4" t="s">
        <v>55</v>
      </c>
      <c r="Z46" s="4" t="s">
        <v>56</v>
      </c>
      <c r="AA46" s="4" t="s">
        <v>57</v>
      </c>
      <c r="AB46" s="4">
        <v>1540</v>
      </c>
      <c r="AC46" s="4">
        <v>25</v>
      </c>
      <c r="AD46" s="4">
        <v>95</v>
      </c>
      <c r="AE46" s="2" t="s">
        <v>58</v>
      </c>
      <c r="AF46" s="2" t="s">
        <v>59</v>
      </c>
      <c r="AG46" s="2" t="s">
        <v>60</v>
      </c>
      <c r="AH46" s="2" t="s">
        <v>898</v>
      </c>
      <c r="AI46" s="2" t="s">
        <v>62</v>
      </c>
    </row>
    <row r="47" spans="1:35" x14ac:dyDescent="0.25">
      <c r="A47" s="2" t="s">
        <v>899</v>
      </c>
      <c r="B47" s="2" t="s">
        <v>900</v>
      </c>
      <c r="C47" s="2" t="s">
        <v>37</v>
      </c>
      <c r="D47" s="2" t="s">
        <v>38</v>
      </c>
      <c r="E47" s="2" t="s">
        <v>901</v>
      </c>
      <c r="F47" s="2">
        <f>1-555-1046</f>
        <v>-1600</v>
      </c>
      <c r="G47" s="2" t="b">
        <v>1</v>
      </c>
      <c r="H47" s="2" t="b">
        <v>1</v>
      </c>
      <c r="I47" s="2" t="s">
        <v>902</v>
      </c>
      <c r="J47" s="2" t="s">
        <v>903</v>
      </c>
      <c r="K47" s="2" t="s">
        <v>904</v>
      </c>
      <c r="L47" s="2" t="s">
        <v>905</v>
      </c>
      <c r="M47" s="2" t="s">
        <v>906</v>
      </c>
      <c r="N47" s="2" t="s">
        <v>907</v>
      </c>
      <c r="O47" s="2" t="s">
        <v>908</v>
      </c>
      <c r="P47" s="2" t="s">
        <v>909</v>
      </c>
      <c r="Q47" s="2" t="s">
        <v>910</v>
      </c>
      <c r="R47" s="2" t="s">
        <v>911</v>
      </c>
      <c r="S47" s="2" t="s">
        <v>912</v>
      </c>
      <c r="T47" s="2" t="s">
        <v>913</v>
      </c>
      <c r="U47" s="2" t="s">
        <v>914</v>
      </c>
      <c r="V47" s="2" t="s">
        <v>915</v>
      </c>
      <c r="W47" s="2" t="s">
        <v>916</v>
      </c>
      <c r="X47" s="2" t="s">
        <v>37</v>
      </c>
      <c r="Y47" s="4" t="s">
        <v>55</v>
      </c>
      <c r="Z47" s="4" t="s">
        <v>56</v>
      </c>
      <c r="AA47" s="4" t="s">
        <v>57</v>
      </c>
      <c r="AB47" s="4">
        <v>1552</v>
      </c>
      <c r="AC47" s="4">
        <v>26</v>
      </c>
      <c r="AD47" s="4">
        <v>96</v>
      </c>
      <c r="AE47" s="2" t="s">
        <v>58</v>
      </c>
      <c r="AF47" s="2" t="s">
        <v>59</v>
      </c>
      <c r="AG47" s="2" t="s">
        <v>60</v>
      </c>
      <c r="AH47" s="2" t="s">
        <v>917</v>
      </c>
      <c r="AI47" s="2" t="s">
        <v>62</v>
      </c>
    </row>
    <row r="48" spans="1:35" x14ac:dyDescent="0.25">
      <c r="A48" s="2" t="s">
        <v>918</v>
      </c>
      <c r="B48" s="2" t="s">
        <v>919</v>
      </c>
      <c r="C48" s="2" t="s">
        <v>37</v>
      </c>
      <c r="D48" s="2" t="s">
        <v>38</v>
      </c>
      <c r="E48" s="2" t="s">
        <v>920</v>
      </c>
      <c r="F48" s="2">
        <f>1-555-1047</f>
        <v>-1601</v>
      </c>
      <c r="G48" s="2" t="b">
        <v>1</v>
      </c>
      <c r="H48" s="2" t="b">
        <v>1</v>
      </c>
      <c r="I48" s="2" t="s">
        <v>921</v>
      </c>
      <c r="J48" s="2" t="s">
        <v>922</v>
      </c>
      <c r="K48" s="2" t="s">
        <v>923</v>
      </c>
      <c r="L48" s="2" t="s">
        <v>924</v>
      </c>
      <c r="M48" s="2" t="s">
        <v>925</v>
      </c>
      <c r="N48" s="2" t="s">
        <v>926</v>
      </c>
      <c r="O48" s="2" t="s">
        <v>927</v>
      </c>
      <c r="P48" s="2" t="s">
        <v>928</v>
      </c>
      <c r="Q48" s="2" t="s">
        <v>929</v>
      </c>
      <c r="R48" s="2" t="s">
        <v>930</v>
      </c>
      <c r="S48" s="2" t="s">
        <v>931</v>
      </c>
      <c r="T48" s="2" t="s">
        <v>932</v>
      </c>
      <c r="U48" s="2" t="s">
        <v>933</v>
      </c>
      <c r="V48" s="2" t="s">
        <v>934</v>
      </c>
      <c r="W48" s="2" t="s">
        <v>935</v>
      </c>
      <c r="X48" s="2" t="s">
        <v>37</v>
      </c>
      <c r="Y48" s="4" t="s">
        <v>55</v>
      </c>
      <c r="Z48" s="4" t="s">
        <v>56</v>
      </c>
      <c r="AA48" s="4" t="s">
        <v>57</v>
      </c>
      <c r="AB48" s="4">
        <v>1564</v>
      </c>
      <c r="AC48" s="4">
        <v>27</v>
      </c>
      <c r="AD48" s="4">
        <v>97</v>
      </c>
      <c r="AE48" s="2" t="s">
        <v>58</v>
      </c>
      <c r="AF48" s="2" t="s">
        <v>59</v>
      </c>
      <c r="AG48" s="2" t="s">
        <v>60</v>
      </c>
      <c r="AH48" s="2" t="s">
        <v>936</v>
      </c>
      <c r="AI48" s="2" t="s">
        <v>62</v>
      </c>
    </row>
    <row r="49" spans="1:35" x14ac:dyDescent="0.25">
      <c r="A49" s="2" t="s">
        <v>937</v>
      </c>
      <c r="B49" s="2" t="s">
        <v>938</v>
      </c>
      <c r="C49" s="2" t="s">
        <v>37</v>
      </c>
      <c r="D49" s="2" t="s">
        <v>38</v>
      </c>
      <c r="E49" s="2" t="s">
        <v>939</v>
      </c>
      <c r="F49" s="2">
        <f>1-555-1048</f>
        <v>-1602</v>
      </c>
      <c r="G49" s="2" t="b">
        <v>1</v>
      </c>
      <c r="H49" s="2" t="b">
        <v>1</v>
      </c>
      <c r="I49" s="2" t="s">
        <v>940</v>
      </c>
      <c r="J49" s="2" t="s">
        <v>941</v>
      </c>
      <c r="K49" s="2" t="s">
        <v>942</v>
      </c>
      <c r="L49" s="2" t="s">
        <v>943</v>
      </c>
      <c r="M49" s="2" t="s">
        <v>944</v>
      </c>
      <c r="N49" s="2" t="s">
        <v>945</v>
      </c>
      <c r="O49" s="2" t="s">
        <v>946</v>
      </c>
      <c r="P49" s="2" t="s">
        <v>947</v>
      </c>
      <c r="Q49" s="2" t="s">
        <v>948</v>
      </c>
      <c r="R49" s="2" t="s">
        <v>949</v>
      </c>
      <c r="S49" s="2" t="s">
        <v>950</v>
      </c>
      <c r="T49" s="2" t="s">
        <v>951</v>
      </c>
      <c r="U49" s="2" t="s">
        <v>952</v>
      </c>
      <c r="V49" s="2" t="s">
        <v>953</v>
      </c>
      <c r="W49" s="2" t="s">
        <v>954</v>
      </c>
      <c r="X49" s="2" t="s">
        <v>37</v>
      </c>
      <c r="Y49" s="4" t="s">
        <v>55</v>
      </c>
      <c r="Z49" s="4" t="s">
        <v>56</v>
      </c>
      <c r="AA49" s="4" t="s">
        <v>57</v>
      </c>
      <c r="AB49" s="4">
        <v>1576</v>
      </c>
      <c r="AC49" s="4">
        <v>28</v>
      </c>
      <c r="AD49" s="4">
        <v>98</v>
      </c>
      <c r="AE49" s="2" t="s">
        <v>58</v>
      </c>
      <c r="AF49" s="2" t="s">
        <v>59</v>
      </c>
      <c r="AG49" s="2" t="s">
        <v>60</v>
      </c>
      <c r="AH49" s="2" t="s">
        <v>955</v>
      </c>
      <c r="AI49" s="2" t="s">
        <v>62</v>
      </c>
    </row>
    <row r="50" spans="1:35" x14ac:dyDescent="0.25">
      <c r="A50" s="2" t="s">
        <v>956</v>
      </c>
      <c r="B50" s="2" t="s">
        <v>957</v>
      </c>
      <c r="C50" s="2" t="s">
        <v>37</v>
      </c>
      <c r="D50" s="2" t="s">
        <v>38</v>
      </c>
      <c r="E50" s="2" t="s">
        <v>958</v>
      </c>
      <c r="F50" s="2">
        <f>1-555-1049</f>
        <v>-1603</v>
      </c>
      <c r="G50" s="2" t="b">
        <v>1</v>
      </c>
      <c r="H50" s="2" t="b">
        <v>1</v>
      </c>
      <c r="I50" s="2" t="s">
        <v>959</v>
      </c>
      <c r="J50" s="2" t="s">
        <v>960</v>
      </c>
      <c r="K50" s="2" t="s">
        <v>961</v>
      </c>
      <c r="L50" s="2" t="s">
        <v>962</v>
      </c>
      <c r="M50" s="2" t="s">
        <v>963</v>
      </c>
      <c r="N50" s="2" t="s">
        <v>964</v>
      </c>
      <c r="O50" s="2" t="s">
        <v>965</v>
      </c>
      <c r="P50" s="2" t="s">
        <v>966</v>
      </c>
      <c r="Q50" s="2" t="s">
        <v>967</v>
      </c>
      <c r="R50" s="2" t="s">
        <v>968</v>
      </c>
      <c r="S50" s="2" t="s">
        <v>969</v>
      </c>
      <c r="T50" s="2" t="s">
        <v>970</v>
      </c>
      <c r="U50" s="2" t="s">
        <v>971</v>
      </c>
      <c r="V50" s="2" t="s">
        <v>972</v>
      </c>
      <c r="W50" s="2" t="s">
        <v>973</v>
      </c>
      <c r="X50" s="2" t="s">
        <v>37</v>
      </c>
      <c r="Y50" s="4" t="s">
        <v>55</v>
      </c>
      <c r="Z50" s="4" t="s">
        <v>56</v>
      </c>
      <c r="AA50" s="4" t="s">
        <v>57</v>
      </c>
      <c r="AB50" s="4">
        <v>1588</v>
      </c>
      <c r="AC50" s="4">
        <v>29</v>
      </c>
      <c r="AD50" s="4">
        <v>99</v>
      </c>
      <c r="AE50" s="2" t="s">
        <v>58</v>
      </c>
      <c r="AF50" s="2" t="s">
        <v>59</v>
      </c>
      <c r="AG50" s="2" t="s">
        <v>60</v>
      </c>
      <c r="AH50" s="2" t="s">
        <v>974</v>
      </c>
      <c r="AI50" s="2" t="s">
        <v>62</v>
      </c>
    </row>
    <row r="51" spans="1:35" x14ac:dyDescent="0.25">
      <c r="A51" s="2" t="s">
        <v>975</v>
      </c>
      <c r="B51" s="2" t="s">
        <v>976</v>
      </c>
      <c r="C51" s="2" t="s">
        <v>37</v>
      </c>
      <c r="D51" s="2" t="s">
        <v>38</v>
      </c>
      <c r="E51" s="2" t="s">
        <v>977</v>
      </c>
      <c r="F51" s="2">
        <f>1-555-1050</f>
        <v>-1604</v>
      </c>
      <c r="G51" s="2" t="b">
        <v>1</v>
      </c>
      <c r="H51" s="2" t="b">
        <v>1</v>
      </c>
      <c r="I51" s="2" t="s">
        <v>978</v>
      </c>
      <c r="J51" s="2" t="s">
        <v>979</v>
      </c>
      <c r="K51" s="2" t="s">
        <v>980</v>
      </c>
      <c r="L51" s="2" t="s">
        <v>981</v>
      </c>
      <c r="M51" s="2" t="s">
        <v>982</v>
      </c>
      <c r="N51" s="2" t="s">
        <v>983</v>
      </c>
      <c r="O51" s="2" t="s">
        <v>984</v>
      </c>
      <c r="P51" s="2" t="s">
        <v>985</v>
      </c>
      <c r="Q51" s="2" t="s">
        <v>986</v>
      </c>
      <c r="R51" s="2" t="s">
        <v>987</v>
      </c>
      <c r="S51" s="2" t="s">
        <v>988</v>
      </c>
      <c r="T51" s="2" t="s">
        <v>989</v>
      </c>
      <c r="U51" s="2" t="s">
        <v>990</v>
      </c>
      <c r="V51" s="2" t="s">
        <v>991</v>
      </c>
      <c r="W51" s="2" t="s">
        <v>992</v>
      </c>
      <c r="X51" s="2" t="s">
        <v>37</v>
      </c>
      <c r="Y51" s="4" t="s">
        <v>55</v>
      </c>
      <c r="Z51" s="4" t="s">
        <v>56</v>
      </c>
      <c r="AA51" s="4" t="s">
        <v>57</v>
      </c>
      <c r="AB51" s="4">
        <v>1600</v>
      </c>
      <c r="AC51" s="4">
        <v>30</v>
      </c>
      <c r="AD51" s="4">
        <v>100</v>
      </c>
      <c r="AE51" s="2" t="s">
        <v>58</v>
      </c>
      <c r="AF51" s="2" t="s">
        <v>59</v>
      </c>
      <c r="AG51" s="2" t="s">
        <v>60</v>
      </c>
      <c r="AH51" s="2" t="s">
        <v>993</v>
      </c>
      <c r="AI51" s="2" t="s">
        <v>62</v>
      </c>
    </row>
    <row r="52" spans="1:35" x14ac:dyDescent="0.25">
      <c r="A52" s="2" t="s">
        <v>994</v>
      </c>
      <c r="B52" s="2" t="s">
        <v>995</v>
      </c>
      <c r="C52" s="2" t="s">
        <v>37</v>
      </c>
      <c r="D52" s="2" t="s">
        <v>38</v>
      </c>
      <c r="E52" s="2" t="s">
        <v>996</v>
      </c>
      <c r="F52" s="2">
        <f>1-555-1051</f>
        <v>-1605</v>
      </c>
      <c r="G52" s="2" t="b">
        <v>1</v>
      </c>
      <c r="H52" s="2" t="b">
        <v>1</v>
      </c>
      <c r="I52" s="2" t="s">
        <v>997</v>
      </c>
      <c r="J52" s="2" t="s">
        <v>998</v>
      </c>
      <c r="K52" s="2" t="s">
        <v>999</v>
      </c>
      <c r="L52" s="2" t="s">
        <v>1000</v>
      </c>
      <c r="M52" s="2" t="s">
        <v>1001</v>
      </c>
      <c r="N52" s="2" t="s">
        <v>1002</v>
      </c>
      <c r="O52" s="2" t="s">
        <v>1003</v>
      </c>
      <c r="P52" s="2" t="s">
        <v>1004</v>
      </c>
      <c r="Q52" s="2" t="s">
        <v>1005</v>
      </c>
      <c r="R52" s="2" t="s">
        <v>1006</v>
      </c>
      <c r="S52" s="2" t="s">
        <v>1007</v>
      </c>
      <c r="T52" s="2" t="s">
        <v>1008</v>
      </c>
      <c r="U52" s="2" t="s">
        <v>1009</v>
      </c>
      <c r="V52" s="2" t="s">
        <v>1010</v>
      </c>
      <c r="W52" s="2" t="s">
        <v>1011</v>
      </c>
      <c r="X52" s="2" t="s">
        <v>37</v>
      </c>
      <c r="Y52" s="4" t="s">
        <v>55</v>
      </c>
      <c r="Z52" s="4" t="s">
        <v>56</v>
      </c>
      <c r="AA52" s="4" t="s">
        <v>57</v>
      </c>
      <c r="AB52" s="4">
        <v>1612</v>
      </c>
      <c r="AC52" s="4">
        <v>31</v>
      </c>
      <c r="AD52" s="4">
        <v>101</v>
      </c>
      <c r="AE52" s="2" t="s">
        <v>58</v>
      </c>
      <c r="AF52" s="2" t="s">
        <v>59</v>
      </c>
      <c r="AG52" s="2" t="s">
        <v>60</v>
      </c>
      <c r="AH52" s="2" t="s">
        <v>1012</v>
      </c>
      <c r="AI52" s="2" t="s">
        <v>62</v>
      </c>
    </row>
    <row r="53" spans="1:35" x14ac:dyDescent="0.25">
      <c r="A53" s="2" t="s">
        <v>1013</v>
      </c>
      <c r="B53" s="2" t="s">
        <v>1014</v>
      </c>
      <c r="C53" s="2" t="s">
        <v>37</v>
      </c>
      <c r="D53" s="2" t="s">
        <v>38</v>
      </c>
      <c r="E53" s="2" t="s">
        <v>1015</v>
      </c>
      <c r="F53" s="2">
        <f>1-555-1052</f>
        <v>-1606</v>
      </c>
      <c r="G53" s="2" t="b">
        <v>1</v>
      </c>
      <c r="H53" s="2" t="b">
        <v>1</v>
      </c>
      <c r="I53" s="2" t="s">
        <v>1016</v>
      </c>
      <c r="J53" s="2" t="s">
        <v>1017</v>
      </c>
      <c r="K53" s="2" t="s">
        <v>1018</v>
      </c>
      <c r="L53" s="2" t="s">
        <v>1019</v>
      </c>
      <c r="M53" s="2" t="s">
        <v>1020</v>
      </c>
      <c r="N53" s="2" t="s">
        <v>1021</v>
      </c>
      <c r="O53" s="2" t="s">
        <v>1022</v>
      </c>
      <c r="P53" s="2" t="s">
        <v>1023</v>
      </c>
      <c r="Q53" s="2" t="s">
        <v>1024</v>
      </c>
      <c r="R53" s="2" t="s">
        <v>1025</v>
      </c>
      <c r="S53" s="2" t="s">
        <v>1026</v>
      </c>
      <c r="T53" s="2" t="s">
        <v>1027</v>
      </c>
      <c r="U53" s="2" t="s">
        <v>1028</v>
      </c>
      <c r="V53" s="2" t="s">
        <v>1029</v>
      </c>
      <c r="W53" s="2" t="s">
        <v>1030</v>
      </c>
      <c r="X53" s="2" t="s">
        <v>37</v>
      </c>
      <c r="Y53" s="4" t="s">
        <v>55</v>
      </c>
      <c r="Z53" s="4" t="s">
        <v>56</v>
      </c>
      <c r="AA53" s="4" t="s">
        <v>57</v>
      </c>
      <c r="AB53" s="4">
        <v>1624</v>
      </c>
      <c r="AC53" s="4">
        <v>32</v>
      </c>
      <c r="AD53" s="4">
        <v>102</v>
      </c>
      <c r="AE53" s="2" t="s">
        <v>58</v>
      </c>
      <c r="AF53" s="2" t="s">
        <v>59</v>
      </c>
      <c r="AG53" s="2" t="s">
        <v>60</v>
      </c>
      <c r="AH53" s="2" t="s">
        <v>1031</v>
      </c>
      <c r="AI53" s="2" t="s">
        <v>62</v>
      </c>
    </row>
    <row r="54" spans="1:35" x14ac:dyDescent="0.25">
      <c r="A54" s="2" t="s">
        <v>1032</v>
      </c>
      <c r="B54" s="2" t="s">
        <v>1033</v>
      </c>
      <c r="C54" s="2" t="s">
        <v>37</v>
      </c>
      <c r="D54" s="2" t="s">
        <v>38</v>
      </c>
      <c r="E54" s="2" t="s">
        <v>1034</v>
      </c>
      <c r="F54" s="2">
        <f>1-555-1053</f>
        <v>-1607</v>
      </c>
      <c r="G54" s="2" t="b">
        <v>1</v>
      </c>
      <c r="H54" s="2" t="b">
        <v>1</v>
      </c>
      <c r="I54" s="2" t="s">
        <v>1035</v>
      </c>
      <c r="J54" s="2" t="s">
        <v>1036</v>
      </c>
      <c r="K54" s="2" t="s">
        <v>1037</v>
      </c>
      <c r="L54" s="2" t="s">
        <v>1038</v>
      </c>
      <c r="M54" s="2" t="s">
        <v>1039</v>
      </c>
      <c r="N54" s="2" t="s">
        <v>1040</v>
      </c>
      <c r="O54" s="2" t="s">
        <v>1041</v>
      </c>
      <c r="P54" s="2" t="s">
        <v>1042</v>
      </c>
      <c r="Q54" s="2" t="s">
        <v>1043</v>
      </c>
      <c r="R54" s="2" t="s">
        <v>1044</v>
      </c>
      <c r="S54" s="2" t="s">
        <v>1045</v>
      </c>
      <c r="T54" s="2" t="s">
        <v>1046</v>
      </c>
      <c r="U54" s="2" t="s">
        <v>1047</v>
      </c>
      <c r="V54" s="2" t="s">
        <v>1048</v>
      </c>
      <c r="W54" s="2" t="s">
        <v>1049</v>
      </c>
      <c r="X54" s="2" t="s">
        <v>37</v>
      </c>
      <c r="Y54" s="4" t="s">
        <v>55</v>
      </c>
      <c r="Z54" s="4" t="s">
        <v>56</v>
      </c>
      <c r="AA54" s="4" t="s">
        <v>57</v>
      </c>
      <c r="AB54" s="4">
        <v>1636</v>
      </c>
      <c r="AC54" s="4">
        <v>33</v>
      </c>
      <c r="AD54" s="4">
        <v>103</v>
      </c>
      <c r="AE54" s="2" t="s">
        <v>58</v>
      </c>
      <c r="AF54" s="2" t="s">
        <v>59</v>
      </c>
      <c r="AG54" s="2" t="s">
        <v>60</v>
      </c>
      <c r="AH54" s="2" t="s">
        <v>1050</v>
      </c>
      <c r="AI54" s="2" t="s">
        <v>62</v>
      </c>
    </row>
    <row r="55" spans="1:35" x14ac:dyDescent="0.25">
      <c r="A55" s="2" t="s">
        <v>1051</v>
      </c>
      <c r="B55" s="2" t="s">
        <v>1052</v>
      </c>
      <c r="C55" s="2" t="s">
        <v>37</v>
      </c>
      <c r="D55" s="2" t="s">
        <v>38</v>
      </c>
      <c r="E55" s="2" t="s">
        <v>1053</v>
      </c>
      <c r="F55" s="2">
        <f>1-555-1054</f>
        <v>-1608</v>
      </c>
      <c r="G55" s="2" t="b">
        <v>1</v>
      </c>
      <c r="H55" s="2" t="b">
        <v>1</v>
      </c>
      <c r="I55" s="2" t="s">
        <v>1054</v>
      </c>
      <c r="J55" s="2" t="s">
        <v>1055</v>
      </c>
      <c r="K55" s="2" t="s">
        <v>1056</v>
      </c>
      <c r="L55" s="2" t="s">
        <v>1057</v>
      </c>
      <c r="M55" s="2" t="s">
        <v>1058</v>
      </c>
      <c r="N55" s="2" t="s">
        <v>1059</v>
      </c>
      <c r="O55" s="2" t="s">
        <v>1060</v>
      </c>
      <c r="P55" s="2" t="s">
        <v>1061</v>
      </c>
      <c r="Q55" s="2" t="s">
        <v>1062</v>
      </c>
      <c r="R55" s="2" t="s">
        <v>1063</v>
      </c>
      <c r="S55" s="2" t="s">
        <v>1064</v>
      </c>
      <c r="T55" s="2" t="s">
        <v>1065</v>
      </c>
      <c r="U55" s="2" t="s">
        <v>1066</v>
      </c>
      <c r="V55" s="2" t="s">
        <v>1067</v>
      </c>
      <c r="W55" s="2" t="s">
        <v>1068</v>
      </c>
      <c r="X55" s="2" t="s">
        <v>37</v>
      </c>
      <c r="Y55" s="4" t="s">
        <v>55</v>
      </c>
      <c r="Z55" s="4" t="s">
        <v>56</v>
      </c>
      <c r="AA55" s="4" t="s">
        <v>57</v>
      </c>
      <c r="AB55" s="4">
        <v>1648</v>
      </c>
      <c r="AC55" s="4">
        <v>34</v>
      </c>
      <c r="AD55" s="4">
        <v>104</v>
      </c>
      <c r="AE55" s="2" t="s">
        <v>58</v>
      </c>
      <c r="AF55" s="2" t="s">
        <v>59</v>
      </c>
      <c r="AG55" s="2" t="s">
        <v>60</v>
      </c>
      <c r="AH55" s="2" t="s">
        <v>1069</v>
      </c>
      <c r="AI55" s="2" t="s">
        <v>62</v>
      </c>
    </row>
    <row r="56" spans="1:35" x14ac:dyDescent="0.25">
      <c r="A56" s="2" t="s">
        <v>1070</v>
      </c>
      <c r="B56" s="2" t="s">
        <v>1071</v>
      </c>
      <c r="C56" s="2" t="s">
        <v>37</v>
      </c>
      <c r="D56" s="2" t="s">
        <v>38</v>
      </c>
      <c r="E56" s="2" t="s">
        <v>1072</v>
      </c>
      <c r="F56" s="2">
        <f>1-555-1055</f>
        <v>-1609</v>
      </c>
      <c r="G56" s="2" t="b">
        <v>1</v>
      </c>
      <c r="H56" s="2" t="b">
        <v>1</v>
      </c>
      <c r="I56" s="2" t="s">
        <v>1073</v>
      </c>
      <c r="J56" s="2" t="s">
        <v>1074</v>
      </c>
      <c r="K56" s="2" t="s">
        <v>1075</v>
      </c>
      <c r="L56" s="2" t="s">
        <v>1076</v>
      </c>
      <c r="M56" s="2" t="s">
        <v>1077</v>
      </c>
      <c r="N56" s="2" t="s">
        <v>1078</v>
      </c>
      <c r="O56" s="2" t="s">
        <v>1079</v>
      </c>
      <c r="P56" s="2" t="s">
        <v>1080</v>
      </c>
      <c r="Q56" s="2" t="s">
        <v>1081</v>
      </c>
      <c r="R56" s="2" t="s">
        <v>1082</v>
      </c>
      <c r="S56" s="2" t="s">
        <v>1083</v>
      </c>
      <c r="T56" s="2" t="s">
        <v>1084</v>
      </c>
      <c r="U56" s="2" t="s">
        <v>1085</v>
      </c>
      <c r="V56" s="2" t="s">
        <v>1086</v>
      </c>
      <c r="W56" s="2" t="s">
        <v>1087</v>
      </c>
      <c r="X56" s="2" t="s">
        <v>37</v>
      </c>
      <c r="Y56" s="4" t="s">
        <v>55</v>
      </c>
      <c r="Z56" s="4" t="s">
        <v>56</v>
      </c>
      <c r="AA56" s="4" t="s">
        <v>57</v>
      </c>
      <c r="AB56" s="4">
        <v>1660</v>
      </c>
      <c r="AC56" s="4">
        <v>35</v>
      </c>
      <c r="AD56" s="4">
        <v>105</v>
      </c>
      <c r="AE56" s="2" t="s">
        <v>58</v>
      </c>
      <c r="AF56" s="2" t="s">
        <v>59</v>
      </c>
      <c r="AG56" s="2" t="s">
        <v>60</v>
      </c>
      <c r="AH56" s="2" t="s">
        <v>1088</v>
      </c>
      <c r="AI56" s="2" t="s">
        <v>62</v>
      </c>
    </row>
    <row r="57" spans="1:35" x14ac:dyDescent="0.25">
      <c r="A57" s="2" t="s">
        <v>1089</v>
      </c>
      <c r="B57" s="2" t="s">
        <v>1090</v>
      </c>
      <c r="C57" s="2" t="s">
        <v>37</v>
      </c>
      <c r="D57" s="2" t="s">
        <v>38</v>
      </c>
      <c r="E57" s="2" t="s">
        <v>1091</v>
      </c>
      <c r="F57" s="2">
        <f>1-555-1056</f>
        <v>-1610</v>
      </c>
      <c r="G57" s="2" t="b">
        <v>1</v>
      </c>
      <c r="H57" s="2" t="b">
        <v>1</v>
      </c>
      <c r="I57" s="2" t="s">
        <v>1092</v>
      </c>
      <c r="J57" s="2" t="s">
        <v>1093</v>
      </c>
      <c r="K57" s="2" t="s">
        <v>1094</v>
      </c>
      <c r="L57" s="2" t="s">
        <v>1095</v>
      </c>
      <c r="M57" s="2" t="s">
        <v>1096</v>
      </c>
      <c r="N57" s="2" t="s">
        <v>1097</v>
      </c>
      <c r="O57" s="2" t="s">
        <v>1098</v>
      </c>
      <c r="P57" s="2" t="s">
        <v>1099</v>
      </c>
      <c r="Q57" s="2" t="s">
        <v>1100</v>
      </c>
      <c r="R57" s="2" t="s">
        <v>1101</v>
      </c>
      <c r="S57" s="2" t="s">
        <v>1102</v>
      </c>
      <c r="T57" s="2" t="s">
        <v>1103</v>
      </c>
      <c r="U57" s="2" t="s">
        <v>1104</v>
      </c>
      <c r="V57" s="2" t="s">
        <v>1105</v>
      </c>
      <c r="W57" s="2" t="s">
        <v>1106</v>
      </c>
      <c r="X57" s="2" t="s">
        <v>37</v>
      </c>
      <c r="Y57" s="4" t="s">
        <v>55</v>
      </c>
      <c r="Z57" s="4" t="s">
        <v>56</v>
      </c>
      <c r="AA57" s="4" t="s">
        <v>57</v>
      </c>
      <c r="AB57" s="4">
        <v>1672</v>
      </c>
      <c r="AC57" s="4">
        <v>36</v>
      </c>
      <c r="AD57" s="4">
        <v>106</v>
      </c>
      <c r="AE57" s="2" t="s">
        <v>58</v>
      </c>
      <c r="AF57" s="2" t="s">
        <v>59</v>
      </c>
      <c r="AG57" s="2" t="s">
        <v>60</v>
      </c>
      <c r="AH57" s="2" t="s">
        <v>1107</v>
      </c>
      <c r="AI57" s="2" t="s">
        <v>62</v>
      </c>
    </row>
    <row r="58" spans="1:35" x14ac:dyDescent="0.25">
      <c r="A58" s="2" t="s">
        <v>1108</v>
      </c>
      <c r="B58" s="2" t="s">
        <v>1109</v>
      </c>
      <c r="C58" s="2" t="s">
        <v>37</v>
      </c>
      <c r="D58" s="2" t="s">
        <v>38</v>
      </c>
      <c r="E58" s="2" t="s">
        <v>1110</v>
      </c>
      <c r="F58" s="2">
        <f>1-555-1057</f>
        <v>-1611</v>
      </c>
      <c r="G58" s="2" t="b">
        <v>1</v>
      </c>
      <c r="H58" s="2" t="b">
        <v>1</v>
      </c>
      <c r="I58" s="2" t="s">
        <v>1111</v>
      </c>
      <c r="J58" s="2" t="s">
        <v>1112</v>
      </c>
      <c r="K58" s="2" t="s">
        <v>1113</v>
      </c>
      <c r="L58" s="2" t="s">
        <v>1114</v>
      </c>
      <c r="M58" s="2" t="s">
        <v>1115</v>
      </c>
      <c r="N58" s="2" t="s">
        <v>1116</v>
      </c>
      <c r="O58" s="2" t="s">
        <v>1117</v>
      </c>
      <c r="P58" s="2" t="s">
        <v>1118</v>
      </c>
      <c r="Q58" s="2" t="s">
        <v>1119</v>
      </c>
      <c r="R58" s="2" t="s">
        <v>1120</v>
      </c>
      <c r="S58" s="2" t="s">
        <v>1121</v>
      </c>
      <c r="T58" s="2" t="s">
        <v>1122</v>
      </c>
      <c r="U58" s="2" t="s">
        <v>1123</v>
      </c>
      <c r="V58" s="2" t="s">
        <v>1124</v>
      </c>
      <c r="W58" s="2" t="s">
        <v>1125</v>
      </c>
      <c r="X58" s="2" t="s">
        <v>37</v>
      </c>
      <c r="Y58" s="4" t="s">
        <v>55</v>
      </c>
      <c r="Z58" s="4" t="s">
        <v>56</v>
      </c>
      <c r="AA58" s="4" t="s">
        <v>57</v>
      </c>
      <c r="AB58" s="4">
        <v>1684</v>
      </c>
      <c r="AC58" s="4">
        <v>37</v>
      </c>
      <c r="AD58" s="4">
        <v>107</v>
      </c>
      <c r="AE58" s="2" t="s">
        <v>58</v>
      </c>
      <c r="AF58" s="2" t="s">
        <v>59</v>
      </c>
      <c r="AG58" s="2" t="s">
        <v>60</v>
      </c>
      <c r="AH58" s="2" t="s">
        <v>1126</v>
      </c>
      <c r="AI58" s="2" t="s">
        <v>62</v>
      </c>
    </row>
    <row r="59" spans="1:35" x14ac:dyDescent="0.25">
      <c r="A59" s="2" t="s">
        <v>1127</v>
      </c>
      <c r="B59" s="2" t="s">
        <v>1128</v>
      </c>
      <c r="C59" s="2" t="s">
        <v>37</v>
      </c>
      <c r="D59" s="2" t="s">
        <v>38</v>
      </c>
      <c r="E59" s="2" t="s">
        <v>1129</v>
      </c>
      <c r="F59" s="2">
        <f>1-555-1058</f>
        <v>-1612</v>
      </c>
      <c r="G59" s="2" t="b">
        <v>1</v>
      </c>
      <c r="H59" s="2" t="b">
        <v>1</v>
      </c>
      <c r="I59" s="2" t="s">
        <v>1130</v>
      </c>
      <c r="J59" s="2" t="s">
        <v>1131</v>
      </c>
      <c r="K59" s="2" t="s">
        <v>1132</v>
      </c>
      <c r="L59" s="2" t="s">
        <v>1133</v>
      </c>
      <c r="M59" s="2" t="s">
        <v>1134</v>
      </c>
      <c r="N59" s="2" t="s">
        <v>1135</v>
      </c>
      <c r="O59" s="2" t="s">
        <v>1136</v>
      </c>
      <c r="P59" s="2" t="s">
        <v>1137</v>
      </c>
      <c r="Q59" s="2" t="s">
        <v>1138</v>
      </c>
      <c r="R59" s="2" t="s">
        <v>1139</v>
      </c>
      <c r="S59" s="2" t="s">
        <v>1140</v>
      </c>
      <c r="T59" s="2" t="s">
        <v>1141</v>
      </c>
      <c r="U59" s="2" t="s">
        <v>1142</v>
      </c>
      <c r="V59" s="2" t="s">
        <v>1143</v>
      </c>
      <c r="W59" s="2" t="s">
        <v>1144</v>
      </c>
      <c r="X59" s="2" t="s">
        <v>37</v>
      </c>
      <c r="Y59" s="4" t="s">
        <v>55</v>
      </c>
      <c r="Z59" s="4" t="s">
        <v>56</v>
      </c>
      <c r="AA59" s="4" t="s">
        <v>57</v>
      </c>
      <c r="AB59" s="4">
        <v>1696</v>
      </c>
      <c r="AC59" s="4">
        <v>38</v>
      </c>
      <c r="AD59" s="4">
        <v>108</v>
      </c>
      <c r="AE59" s="2" t="s">
        <v>58</v>
      </c>
      <c r="AF59" s="2" t="s">
        <v>59</v>
      </c>
      <c r="AG59" s="2" t="s">
        <v>60</v>
      </c>
      <c r="AH59" s="2" t="s">
        <v>1145</v>
      </c>
      <c r="AI59" s="2" t="s">
        <v>62</v>
      </c>
    </row>
    <row r="60" spans="1:35" x14ac:dyDescent="0.25">
      <c r="A60" s="2" t="s">
        <v>1146</v>
      </c>
      <c r="B60" s="2" t="s">
        <v>1147</v>
      </c>
      <c r="C60" s="2" t="s">
        <v>37</v>
      </c>
      <c r="D60" s="2" t="s">
        <v>38</v>
      </c>
      <c r="E60" s="2" t="s">
        <v>1148</v>
      </c>
      <c r="F60" s="2">
        <f>1-555-1059</f>
        <v>-1613</v>
      </c>
      <c r="G60" s="2" t="b">
        <v>1</v>
      </c>
      <c r="H60" s="2" t="b">
        <v>1</v>
      </c>
      <c r="I60" s="2" t="s">
        <v>1149</v>
      </c>
      <c r="J60" s="2" t="s">
        <v>1150</v>
      </c>
      <c r="K60" s="2" t="s">
        <v>1151</v>
      </c>
      <c r="L60" s="2" t="s">
        <v>1152</v>
      </c>
      <c r="M60" s="2" t="s">
        <v>1153</v>
      </c>
      <c r="N60" s="2" t="s">
        <v>1154</v>
      </c>
      <c r="O60" s="2" t="s">
        <v>1155</v>
      </c>
      <c r="P60" s="2" t="s">
        <v>1156</v>
      </c>
      <c r="Q60" s="2" t="s">
        <v>1157</v>
      </c>
      <c r="R60" s="2" t="s">
        <v>1158</v>
      </c>
      <c r="S60" s="2" t="s">
        <v>1159</v>
      </c>
      <c r="T60" s="2" t="s">
        <v>1160</v>
      </c>
      <c r="U60" s="2" t="s">
        <v>1161</v>
      </c>
      <c r="V60" s="2" t="s">
        <v>1162</v>
      </c>
      <c r="W60" s="2" t="s">
        <v>1163</v>
      </c>
      <c r="X60" s="2" t="s">
        <v>37</v>
      </c>
      <c r="Y60" s="4" t="s">
        <v>55</v>
      </c>
      <c r="Z60" s="4" t="s">
        <v>56</v>
      </c>
      <c r="AA60" s="4" t="s">
        <v>57</v>
      </c>
      <c r="AB60" s="4">
        <v>1708</v>
      </c>
      <c r="AC60" s="4">
        <v>39</v>
      </c>
      <c r="AD60" s="4">
        <v>109</v>
      </c>
      <c r="AE60" s="2" t="s">
        <v>58</v>
      </c>
      <c r="AF60" s="2" t="s">
        <v>59</v>
      </c>
      <c r="AG60" s="2" t="s">
        <v>60</v>
      </c>
      <c r="AH60" s="2" t="s">
        <v>1164</v>
      </c>
      <c r="AI60" s="2" t="s">
        <v>62</v>
      </c>
    </row>
    <row r="61" spans="1:35" x14ac:dyDescent="0.25">
      <c r="A61" s="2" t="s">
        <v>1165</v>
      </c>
      <c r="B61" s="2" t="s">
        <v>1166</v>
      </c>
      <c r="C61" s="2" t="s">
        <v>37</v>
      </c>
      <c r="D61" s="2" t="s">
        <v>38</v>
      </c>
      <c r="E61" s="2" t="s">
        <v>1167</v>
      </c>
      <c r="F61" s="2">
        <f>1-555-1060</f>
        <v>-1614</v>
      </c>
      <c r="G61" s="2" t="b">
        <v>1</v>
      </c>
      <c r="H61" s="2" t="b">
        <v>1</v>
      </c>
      <c r="I61" s="2" t="s">
        <v>1168</v>
      </c>
      <c r="J61" s="2" t="s">
        <v>1169</v>
      </c>
      <c r="K61" s="2" t="s">
        <v>1170</v>
      </c>
      <c r="L61" s="2" t="s">
        <v>1171</v>
      </c>
      <c r="M61" s="2" t="s">
        <v>1172</v>
      </c>
      <c r="N61" s="2" t="s">
        <v>1173</v>
      </c>
      <c r="O61" s="2" t="s">
        <v>1174</v>
      </c>
      <c r="P61" s="2" t="s">
        <v>1175</v>
      </c>
      <c r="Q61" s="2" t="s">
        <v>1176</v>
      </c>
      <c r="R61" s="2" t="s">
        <v>1177</v>
      </c>
      <c r="S61" s="2" t="s">
        <v>1178</v>
      </c>
      <c r="T61" s="2" t="s">
        <v>1179</v>
      </c>
      <c r="U61" s="2" t="s">
        <v>1180</v>
      </c>
      <c r="V61" s="2" t="s">
        <v>1181</v>
      </c>
      <c r="W61" s="2" t="s">
        <v>1182</v>
      </c>
      <c r="X61" s="2" t="s">
        <v>37</v>
      </c>
      <c r="Y61" s="4" t="s">
        <v>55</v>
      </c>
      <c r="Z61" s="4" t="s">
        <v>56</v>
      </c>
      <c r="AA61" s="4" t="s">
        <v>57</v>
      </c>
      <c r="AB61" s="4">
        <v>1720</v>
      </c>
      <c r="AC61" s="4">
        <v>20</v>
      </c>
      <c r="AD61" s="4">
        <v>110</v>
      </c>
      <c r="AE61" s="2" t="s">
        <v>58</v>
      </c>
      <c r="AF61" s="2" t="s">
        <v>59</v>
      </c>
      <c r="AG61" s="2" t="s">
        <v>60</v>
      </c>
      <c r="AH61" s="2" t="s">
        <v>1183</v>
      </c>
      <c r="AI61" s="2" t="s">
        <v>62</v>
      </c>
    </row>
    <row r="62" spans="1:35" x14ac:dyDescent="0.25">
      <c r="A62" s="2" t="s">
        <v>1184</v>
      </c>
      <c r="B62" s="2" t="s">
        <v>1185</v>
      </c>
      <c r="C62" s="2" t="s">
        <v>37</v>
      </c>
      <c r="D62" s="2" t="s">
        <v>38</v>
      </c>
      <c r="E62" s="2" t="s">
        <v>1186</v>
      </c>
      <c r="F62" s="2">
        <f>1-555-1061</f>
        <v>-1615</v>
      </c>
      <c r="G62" s="2" t="b">
        <v>1</v>
      </c>
      <c r="H62" s="2" t="b">
        <v>1</v>
      </c>
      <c r="I62" s="2" t="s">
        <v>1187</v>
      </c>
      <c r="J62" s="2" t="s">
        <v>1188</v>
      </c>
      <c r="K62" s="2" t="s">
        <v>1189</v>
      </c>
      <c r="L62" s="2" t="s">
        <v>1190</v>
      </c>
      <c r="M62" s="2" t="s">
        <v>1191</v>
      </c>
      <c r="N62" s="2" t="s">
        <v>1192</v>
      </c>
      <c r="O62" s="2" t="s">
        <v>1193</v>
      </c>
      <c r="P62" s="2" t="s">
        <v>1194</v>
      </c>
      <c r="Q62" s="2" t="s">
        <v>1195</v>
      </c>
      <c r="R62" s="2" t="s">
        <v>1196</v>
      </c>
      <c r="S62" s="2" t="s">
        <v>1197</v>
      </c>
      <c r="T62" s="2" t="s">
        <v>1198</v>
      </c>
      <c r="U62" s="2" t="s">
        <v>1199</v>
      </c>
      <c r="V62" s="2" t="s">
        <v>1200</v>
      </c>
      <c r="W62" s="2" t="s">
        <v>1201</v>
      </c>
      <c r="X62" s="2" t="s">
        <v>37</v>
      </c>
      <c r="Y62" s="4" t="s">
        <v>55</v>
      </c>
      <c r="Z62" s="4" t="s">
        <v>56</v>
      </c>
      <c r="AA62" s="4" t="s">
        <v>57</v>
      </c>
      <c r="AB62" s="4">
        <v>1732</v>
      </c>
      <c r="AC62" s="4">
        <v>21</v>
      </c>
      <c r="AD62" s="4">
        <v>111</v>
      </c>
      <c r="AE62" s="2" t="s">
        <v>58</v>
      </c>
      <c r="AF62" s="2" t="s">
        <v>59</v>
      </c>
      <c r="AG62" s="2" t="s">
        <v>60</v>
      </c>
      <c r="AH62" s="2" t="s">
        <v>1202</v>
      </c>
      <c r="AI62" s="2" t="s">
        <v>62</v>
      </c>
    </row>
    <row r="63" spans="1:35" x14ac:dyDescent="0.25">
      <c r="A63" s="2" t="s">
        <v>1203</v>
      </c>
      <c r="B63" s="2" t="s">
        <v>1204</v>
      </c>
      <c r="C63" s="2" t="s">
        <v>37</v>
      </c>
      <c r="D63" s="2" t="s">
        <v>38</v>
      </c>
      <c r="E63" s="2" t="s">
        <v>1205</v>
      </c>
      <c r="F63" s="2">
        <f>1-555-1062</f>
        <v>-1616</v>
      </c>
      <c r="G63" s="2" t="b">
        <v>1</v>
      </c>
      <c r="H63" s="2" t="b">
        <v>1</v>
      </c>
      <c r="I63" s="2" t="s">
        <v>1206</v>
      </c>
      <c r="J63" s="2" t="s">
        <v>1207</v>
      </c>
      <c r="K63" s="2" t="s">
        <v>1208</v>
      </c>
      <c r="L63" s="2" t="s">
        <v>1209</v>
      </c>
      <c r="M63" s="2" t="s">
        <v>1210</v>
      </c>
      <c r="N63" s="2" t="s">
        <v>1211</v>
      </c>
      <c r="O63" s="2" t="s">
        <v>1212</v>
      </c>
      <c r="P63" s="2" t="s">
        <v>1213</v>
      </c>
      <c r="Q63" s="2" t="s">
        <v>1214</v>
      </c>
      <c r="R63" s="2" t="s">
        <v>1215</v>
      </c>
      <c r="S63" s="2" t="s">
        <v>1216</v>
      </c>
      <c r="T63" s="2" t="s">
        <v>1217</v>
      </c>
      <c r="U63" s="2" t="s">
        <v>1218</v>
      </c>
      <c r="V63" s="2" t="s">
        <v>1219</v>
      </c>
      <c r="W63" s="2" t="s">
        <v>1220</v>
      </c>
      <c r="X63" s="2" t="s">
        <v>37</v>
      </c>
      <c r="Y63" s="4" t="s">
        <v>55</v>
      </c>
      <c r="Z63" s="4" t="s">
        <v>56</v>
      </c>
      <c r="AA63" s="4" t="s">
        <v>57</v>
      </c>
      <c r="AB63" s="4">
        <v>1744</v>
      </c>
      <c r="AC63" s="4">
        <v>22</v>
      </c>
      <c r="AD63" s="4">
        <v>112</v>
      </c>
      <c r="AE63" s="2" t="s">
        <v>58</v>
      </c>
      <c r="AF63" s="2" t="s">
        <v>59</v>
      </c>
      <c r="AG63" s="2" t="s">
        <v>60</v>
      </c>
      <c r="AH63" s="2" t="s">
        <v>1221</v>
      </c>
      <c r="AI63" s="2" t="s">
        <v>62</v>
      </c>
    </row>
    <row r="64" spans="1:35" x14ac:dyDescent="0.25">
      <c r="A64" s="2" t="s">
        <v>1222</v>
      </c>
      <c r="B64" s="2" t="s">
        <v>1223</v>
      </c>
      <c r="C64" s="2" t="s">
        <v>37</v>
      </c>
      <c r="D64" s="2" t="s">
        <v>38</v>
      </c>
      <c r="E64" s="2" t="s">
        <v>1224</v>
      </c>
      <c r="F64" s="2">
        <f>1-555-1063</f>
        <v>-1617</v>
      </c>
      <c r="G64" s="2" t="b">
        <v>1</v>
      </c>
      <c r="H64" s="2" t="b">
        <v>1</v>
      </c>
      <c r="I64" s="2" t="s">
        <v>1225</v>
      </c>
      <c r="J64" s="2" t="s">
        <v>1226</v>
      </c>
      <c r="K64" s="2" t="s">
        <v>1227</v>
      </c>
      <c r="L64" s="2" t="s">
        <v>1228</v>
      </c>
      <c r="M64" s="2" t="s">
        <v>1229</v>
      </c>
      <c r="N64" s="2" t="s">
        <v>1230</v>
      </c>
      <c r="O64" s="2" t="s">
        <v>1231</v>
      </c>
      <c r="P64" s="2" t="s">
        <v>1232</v>
      </c>
      <c r="Q64" s="2" t="s">
        <v>1233</v>
      </c>
      <c r="R64" s="2" t="s">
        <v>1234</v>
      </c>
      <c r="S64" s="2" t="s">
        <v>1235</v>
      </c>
      <c r="T64" s="2" t="s">
        <v>1236</v>
      </c>
      <c r="U64" s="2" t="s">
        <v>1237</v>
      </c>
      <c r="V64" s="2" t="s">
        <v>1238</v>
      </c>
      <c r="W64" s="2" t="s">
        <v>1239</v>
      </c>
      <c r="X64" s="2" t="s">
        <v>37</v>
      </c>
      <c r="Y64" s="4" t="s">
        <v>55</v>
      </c>
      <c r="Z64" s="4" t="s">
        <v>56</v>
      </c>
      <c r="AA64" s="4" t="s">
        <v>57</v>
      </c>
      <c r="AB64" s="4">
        <v>1756</v>
      </c>
      <c r="AC64" s="4">
        <v>23</v>
      </c>
      <c r="AD64" s="4">
        <v>113</v>
      </c>
      <c r="AE64" s="2" t="s">
        <v>58</v>
      </c>
      <c r="AF64" s="2" t="s">
        <v>59</v>
      </c>
      <c r="AG64" s="2" t="s">
        <v>60</v>
      </c>
      <c r="AH64" s="2" t="s">
        <v>1240</v>
      </c>
      <c r="AI64" s="2" t="s">
        <v>62</v>
      </c>
    </row>
    <row r="65" spans="1:35" x14ac:dyDescent="0.25">
      <c r="A65" s="2" t="s">
        <v>1241</v>
      </c>
      <c r="B65" s="2" t="s">
        <v>1242</v>
      </c>
      <c r="C65" s="2" t="s">
        <v>37</v>
      </c>
      <c r="D65" s="2" t="s">
        <v>38</v>
      </c>
      <c r="E65" s="2" t="s">
        <v>1243</v>
      </c>
      <c r="F65" s="2">
        <f>1-555-1064</f>
        <v>-1618</v>
      </c>
      <c r="G65" s="2" t="b">
        <v>1</v>
      </c>
      <c r="H65" s="2" t="b">
        <v>1</v>
      </c>
      <c r="I65" s="2" t="s">
        <v>1244</v>
      </c>
      <c r="J65" s="2" t="s">
        <v>1245</v>
      </c>
      <c r="K65" s="2" t="s">
        <v>1246</v>
      </c>
      <c r="L65" s="2" t="s">
        <v>1247</v>
      </c>
      <c r="M65" s="2" t="s">
        <v>1248</v>
      </c>
      <c r="N65" s="2" t="s">
        <v>1249</v>
      </c>
      <c r="O65" s="2" t="s">
        <v>1250</v>
      </c>
      <c r="P65" s="2" t="s">
        <v>1251</v>
      </c>
      <c r="Q65" s="2" t="s">
        <v>1252</v>
      </c>
      <c r="R65" s="2" t="s">
        <v>1253</v>
      </c>
      <c r="S65" s="2" t="s">
        <v>1254</v>
      </c>
      <c r="T65" s="2" t="s">
        <v>1255</v>
      </c>
      <c r="U65" s="2" t="s">
        <v>1256</v>
      </c>
      <c r="V65" s="2" t="s">
        <v>1257</v>
      </c>
      <c r="W65" s="2" t="s">
        <v>1258</v>
      </c>
      <c r="X65" s="2" t="s">
        <v>37</v>
      </c>
      <c r="Y65" s="4" t="s">
        <v>55</v>
      </c>
      <c r="Z65" s="4" t="s">
        <v>56</v>
      </c>
      <c r="AA65" s="4" t="s">
        <v>57</v>
      </c>
      <c r="AB65" s="4">
        <v>1768</v>
      </c>
      <c r="AC65" s="4">
        <v>24</v>
      </c>
      <c r="AD65" s="4">
        <v>114</v>
      </c>
      <c r="AE65" s="2" t="s">
        <v>58</v>
      </c>
      <c r="AF65" s="2" t="s">
        <v>59</v>
      </c>
      <c r="AG65" s="2" t="s">
        <v>60</v>
      </c>
      <c r="AH65" s="2" t="s">
        <v>1259</v>
      </c>
      <c r="AI65" s="2" t="s">
        <v>62</v>
      </c>
    </row>
    <row r="66" spans="1:35" x14ac:dyDescent="0.25">
      <c r="A66" s="2" t="s">
        <v>1260</v>
      </c>
      <c r="B66" s="2" t="s">
        <v>1261</v>
      </c>
      <c r="C66" s="2" t="s">
        <v>37</v>
      </c>
      <c r="D66" s="2" t="s">
        <v>38</v>
      </c>
      <c r="E66" s="2" t="s">
        <v>1262</v>
      </c>
      <c r="F66" s="2">
        <f>1-555-1065</f>
        <v>-1619</v>
      </c>
      <c r="G66" s="2" t="b">
        <v>1</v>
      </c>
      <c r="H66" s="2" t="b">
        <v>1</v>
      </c>
      <c r="I66" s="2" t="s">
        <v>1263</v>
      </c>
      <c r="J66" s="2" t="s">
        <v>1264</v>
      </c>
      <c r="K66" s="2" t="s">
        <v>1265</v>
      </c>
      <c r="L66" s="2" t="s">
        <v>1266</v>
      </c>
      <c r="M66" s="2" t="s">
        <v>1267</v>
      </c>
      <c r="N66" s="2" t="s">
        <v>1268</v>
      </c>
      <c r="O66" s="2" t="s">
        <v>1269</v>
      </c>
      <c r="P66" s="2" t="s">
        <v>1270</v>
      </c>
      <c r="Q66" s="2" t="s">
        <v>1271</v>
      </c>
      <c r="R66" s="2" t="s">
        <v>1272</v>
      </c>
      <c r="S66" s="2" t="s">
        <v>1273</v>
      </c>
      <c r="T66" s="2" t="s">
        <v>1274</v>
      </c>
      <c r="U66" s="2" t="s">
        <v>1275</v>
      </c>
      <c r="V66" s="2" t="s">
        <v>1276</v>
      </c>
      <c r="W66" s="2" t="s">
        <v>1277</v>
      </c>
      <c r="X66" s="2" t="s">
        <v>37</v>
      </c>
      <c r="Y66" s="4" t="s">
        <v>55</v>
      </c>
      <c r="Z66" s="4" t="s">
        <v>56</v>
      </c>
      <c r="AA66" s="4" t="s">
        <v>57</v>
      </c>
      <c r="AB66" s="4">
        <v>1780</v>
      </c>
      <c r="AC66" s="4">
        <v>25</v>
      </c>
      <c r="AD66" s="4">
        <v>115</v>
      </c>
      <c r="AE66" s="2" t="s">
        <v>58</v>
      </c>
      <c r="AF66" s="2" t="s">
        <v>59</v>
      </c>
      <c r="AG66" s="2" t="s">
        <v>60</v>
      </c>
      <c r="AH66" s="2" t="s">
        <v>1278</v>
      </c>
      <c r="AI66" s="2" t="s">
        <v>62</v>
      </c>
    </row>
    <row r="67" spans="1:35" x14ac:dyDescent="0.25">
      <c r="A67" s="2" t="s">
        <v>1279</v>
      </c>
      <c r="B67" s="2" t="s">
        <v>1280</v>
      </c>
      <c r="C67" s="2" t="s">
        <v>37</v>
      </c>
      <c r="D67" s="2" t="s">
        <v>38</v>
      </c>
      <c r="E67" s="2" t="s">
        <v>1281</v>
      </c>
      <c r="F67" s="2">
        <f>1-555-1066</f>
        <v>-1620</v>
      </c>
      <c r="G67" s="2" t="b">
        <v>1</v>
      </c>
      <c r="H67" s="2" t="b">
        <v>1</v>
      </c>
      <c r="I67" s="2" t="s">
        <v>1282</v>
      </c>
      <c r="J67" s="2" t="s">
        <v>1283</v>
      </c>
      <c r="K67" s="2" t="s">
        <v>1284</v>
      </c>
      <c r="L67" s="2" t="s">
        <v>1285</v>
      </c>
      <c r="M67" s="2" t="s">
        <v>1286</v>
      </c>
      <c r="N67" s="2" t="s">
        <v>1287</v>
      </c>
      <c r="O67" s="2" t="s">
        <v>1288</v>
      </c>
      <c r="P67" s="2" t="s">
        <v>1289</v>
      </c>
      <c r="Q67" s="2" t="s">
        <v>1290</v>
      </c>
      <c r="R67" s="2" t="s">
        <v>1291</v>
      </c>
      <c r="S67" s="2" t="s">
        <v>1292</v>
      </c>
      <c r="T67" s="2" t="s">
        <v>1293</v>
      </c>
      <c r="U67" s="2" t="s">
        <v>1294</v>
      </c>
      <c r="V67" s="2" t="s">
        <v>1295</v>
      </c>
      <c r="W67" s="2" t="s">
        <v>1296</v>
      </c>
      <c r="X67" s="2" t="s">
        <v>37</v>
      </c>
      <c r="Y67" s="4" t="s">
        <v>55</v>
      </c>
      <c r="Z67" s="4" t="s">
        <v>56</v>
      </c>
      <c r="AA67" s="4" t="s">
        <v>57</v>
      </c>
      <c r="AB67" s="4">
        <v>1792</v>
      </c>
      <c r="AC67" s="4">
        <v>26</v>
      </c>
      <c r="AD67" s="4">
        <v>116</v>
      </c>
      <c r="AE67" s="2" t="s">
        <v>58</v>
      </c>
      <c r="AF67" s="2" t="s">
        <v>59</v>
      </c>
      <c r="AG67" s="2" t="s">
        <v>60</v>
      </c>
      <c r="AH67" s="2" t="s">
        <v>1297</v>
      </c>
      <c r="AI67" s="2" t="s">
        <v>62</v>
      </c>
    </row>
    <row r="68" spans="1:35" x14ac:dyDescent="0.25">
      <c r="A68" s="2" t="s">
        <v>1298</v>
      </c>
      <c r="B68" s="2" t="s">
        <v>1299</v>
      </c>
      <c r="C68" s="2" t="s">
        <v>37</v>
      </c>
      <c r="D68" s="2" t="s">
        <v>38</v>
      </c>
      <c r="E68" s="2" t="s">
        <v>1300</v>
      </c>
      <c r="F68" s="2">
        <f>1-555-1067</f>
        <v>-1621</v>
      </c>
      <c r="G68" s="2" t="b">
        <v>1</v>
      </c>
      <c r="H68" s="2" t="b">
        <v>1</v>
      </c>
      <c r="I68" s="2" t="s">
        <v>1301</v>
      </c>
      <c r="J68" s="2" t="s">
        <v>1302</v>
      </c>
      <c r="K68" s="2" t="s">
        <v>1303</v>
      </c>
      <c r="L68" s="2" t="s">
        <v>1304</v>
      </c>
      <c r="M68" s="2" t="s">
        <v>1305</v>
      </c>
      <c r="N68" s="2" t="s">
        <v>1306</v>
      </c>
      <c r="O68" s="2" t="s">
        <v>1307</v>
      </c>
      <c r="P68" s="2" t="s">
        <v>1308</v>
      </c>
      <c r="Q68" s="2" t="s">
        <v>1309</v>
      </c>
      <c r="R68" s="2" t="s">
        <v>1310</v>
      </c>
      <c r="S68" s="2" t="s">
        <v>1311</v>
      </c>
      <c r="T68" s="2" t="s">
        <v>1312</v>
      </c>
      <c r="U68" s="2" t="s">
        <v>1313</v>
      </c>
      <c r="V68" s="2" t="s">
        <v>1314</v>
      </c>
      <c r="W68" s="2" t="s">
        <v>1315</v>
      </c>
      <c r="X68" s="2" t="s">
        <v>37</v>
      </c>
      <c r="Y68" s="4" t="s">
        <v>55</v>
      </c>
      <c r="Z68" s="4" t="s">
        <v>56</v>
      </c>
      <c r="AA68" s="4" t="s">
        <v>57</v>
      </c>
      <c r="AB68" s="4">
        <v>1804</v>
      </c>
      <c r="AC68" s="4">
        <v>27</v>
      </c>
      <c r="AD68" s="4">
        <v>117</v>
      </c>
      <c r="AE68" s="2" t="s">
        <v>58</v>
      </c>
      <c r="AF68" s="2" t="s">
        <v>59</v>
      </c>
      <c r="AG68" s="2" t="s">
        <v>60</v>
      </c>
      <c r="AH68" s="2" t="s">
        <v>1316</v>
      </c>
      <c r="AI68" s="2" t="s">
        <v>62</v>
      </c>
    </row>
    <row r="69" spans="1:35" x14ac:dyDescent="0.25">
      <c r="A69" s="2" t="s">
        <v>1317</v>
      </c>
      <c r="B69" s="2" t="s">
        <v>1318</v>
      </c>
      <c r="C69" s="2" t="s">
        <v>37</v>
      </c>
      <c r="D69" s="2" t="s">
        <v>38</v>
      </c>
      <c r="E69" s="2" t="s">
        <v>1319</v>
      </c>
      <c r="F69" s="2">
        <f>1-555-1068</f>
        <v>-1622</v>
      </c>
      <c r="G69" s="2" t="b">
        <v>1</v>
      </c>
      <c r="H69" s="2" t="b">
        <v>1</v>
      </c>
      <c r="I69" s="2" t="s">
        <v>1320</v>
      </c>
      <c r="J69" s="2" t="s">
        <v>1321</v>
      </c>
      <c r="K69" s="2" t="s">
        <v>1322</v>
      </c>
      <c r="L69" s="2" t="s">
        <v>1323</v>
      </c>
      <c r="M69" s="2" t="s">
        <v>1324</v>
      </c>
      <c r="N69" s="2" t="s">
        <v>1325</v>
      </c>
      <c r="O69" s="2" t="s">
        <v>1326</v>
      </c>
      <c r="P69" s="2" t="s">
        <v>1327</v>
      </c>
      <c r="Q69" s="2" t="s">
        <v>1328</v>
      </c>
      <c r="R69" s="2" t="s">
        <v>1329</v>
      </c>
      <c r="S69" s="2" t="s">
        <v>1330</v>
      </c>
      <c r="T69" s="2" t="s">
        <v>1331</v>
      </c>
      <c r="U69" s="2" t="s">
        <v>1332</v>
      </c>
      <c r="V69" s="2" t="s">
        <v>1333</v>
      </c>
      <c r="W69" s="2" t="s">
        <v>1334</v>
      </c>
      <c r="X69" s="2" t="s">
        <v>37</v>
      </c>
      <c r="Y69" s="4" t="s">
        <v>55</v>
      </c>
      <c r="Z69" s="4" t="s">
        <v>56</v>
      </c>
      <c r="AA69" s="4" t="s">
        <v>57</v>
      </c>
      <c r="AB69" s="4">
        <v>1816</v>
      </c>
      <c r="AC69" s="4">
        <v>28</v>
      </c>
      <c r="AD69" s="4">
        <v>118</v>
      </c>
      <c r="AE69" s="2" t="s">
        <v>58</v>
      </c>
      <c r="AF69" s="2" t="s">
        <v>59</v>
      </c>
      <c r="AG69" s="2" t="s">
        <v>60</v>
      </c>
      <c r="AH69" s="2" t="s">
        <v>1335</v>
      </c>
      <c r="AI69" s="2" t="s">
        <v>62</v>
      </c>
    </row>
    <row r="70" spans="1:35" x14ac:dyDescent="0.25">
      <c r="A70" s="2" t="s">
        <v>1336</v>
      </c>
      <c r="B70" s="2" t="s">
        <v>1337</v>
      </c>
      <c r="C70" s="2" t="s">
        <v>37</v>
      </c>
      <c r="D70" s="2" t="s">
        <v>38</v>
      </c>
      <c r="E70" s="2" t="s">
        <v>1338</v>
      </c>
      <c r="F70" s="2">
        <f>1-555-1069</f>
        <v>-1623</v>
      </c>
      <c r="G70" s="2" t="b">
        <v>1</v>
      </c>
      <c r="H70" s="2" t="b">
        <v>1</v>
      </c>
      <c r="I70" s="2" t="s">
        <v>1339</v>
      </c>
      <c r="J70" s="2" t="s">
        <v>1340</v>
      </c>
      <c r="K70" s="2" t="s">
        <v>1341</v>
      </c>
      <c r="L70" s="2" t="s">
        <v>1342</v>
      </c>
      <c r="M70" s="2" t="s">
        <v>1343</v>
      </c>
      <c r="N70" s="2" t="s">
        <v>1344</v>
      </c>
      <c r="O70" s="2" t="s">
        <v>1345</v>
      </c>
      <c r="P70" s="2" t="s">
        <v>1346</v>
      </c>
      <c r="Q70" s="2" t="s">
        <v>1347</v>
      </c>
      <c r="R70" s="2" t="s">
        <v>1348</v>
      </c>
      <c r="S70" s="2" t="s">
        <v>1349</v>
      </c>
      <c r="T70" s="2" t="s">
        <v>1350</v>
      </c>
      <c r="U70" s="2" t="s">
        <v>1351</v>
      </c>
      <c r="V70" s="2" t="s">
        <v>1352</v>
      </c>
      <c r="W70" s="2" t="s">
        <v>1353</v>
      </c>
      <c r="X70" s="2" t="s">
        <v>37</v>
      </c>
      <c r="Y70" s="4" t="s">
        <v>55</v>
      </c>
      <c r="Z70" s="4" t="s">
        <v>56</v>
      </c>
      <c r="AA70" s="4" t="s">
        <v>57</v>
      </c>
      <c r="AB70" s="4">
        <v>1828</v>
      </c>
      <c r="AC70" s="4">
        <v>29</v>
      </c>
      <c r="AD70" s="4">
        <v>119</v>
      </c>
      <c r="AE70" s="2" t="s">
        <v>58</v>
      </c>
      <c r="AF70" s="2" t="s">
        <v>59</v>
      </c>
      <c r="AG70" s="2" t="s">
        <v>60</v>
      </c>
      <c r="AH70" s="2" t="s">
        <v>1354</v>
      </c>
      <c r="AI70" s="2" t="s">
        <v>62</v>
      </c>
    </row>
    <row r="71" spans="1:35" x14ac:dyDescent="0.25">
      <c r="A71" s="2" t="s">
        <v>1355</v>
      </c>
      <c r="B71" s="2" t="s">
        <v>1356</v>
      </c>
      <c r="C71" s="2" t="s">
        <v>37</v>
      </c>
      <c r="D71" s="2" t="s">
        <v>38</v>
      </c>
      <c r="E71" s="2" t="s">
        <v>1357</v>
      </c>
      <c r="F71" s="2">
        <f>1-555-1070</f>
        <v>-1624</v>
      </c>
      <c r="G71" s="2" t="b">
        <v>1</v>
      </c>
      <c r="H71" s="2" t="b">
        <v>1</v>
      </c>
      <c r="I71" s="2" t="s">
        <v>1358</v>
      </c>
      <c r="J71" s="2" t="s">
        <v>1359</v>
      </c>
      <c r="K71" s="2" t="s">
        <v>1360</v>
      </c>
      <c r="L71" s="2" t="s">
        <v>1361</v>
      </c>
      <c r="M71" s="2" t="s">
        <v>1362</v>
      </c>
      <c r="N71" s="2" t="s">
        <v>1363</v>
      </c>
      <c r="O71" s="2" t="s">
        <v>1364</v>
      </c>
      <c r="P71" s="2" t="s">
        <v>1365</v>
      </c>
      <c r="Q71" s="2" t="s">
        <v>1366</v>
      </c>
      <c r="R71" s="2" t="s">
        <v>1367</v>
      </c>
      <c r="S71" s="2" t="s">
        <v>1368</v>
      </c>
      <c r="T71" s="2" t="s">
        <v>1369</v>
      </c>
      <c r="U71" s="2" t="s">
        <v>1370</v>
      </c>
      <c r="V71" s="2" t="s">
        <v>1371</v>
      </c>
      <c r="W71" s="2" t="s">
        <v>1372</v>
      </c>
      <c r="X71" s="2" t="s">
        <v>37</v>
      </c>
      <c r="Y71" s="4" t="s">
        <v>55</v>
      </c>
      <c r="Z71" s="4" t="s">
        <v>56</v>
      </c>
      <c r="AA71" s="4" t="s">
        <v>57</v>
      </c>
      <c r="AB71" s="4">
        <v>1840</v>
      </c>
      <c r="AC71" s="4">
        <v>30</v>
      </c>
      <c r="AD71" s="4">
        <v>120</v>
      </c>
      <c r="AE71" s="2" t="s">
        <v>58</v>
      </c>
      <c r="AF71" s="2" t="s">
        <v>59</v>
      </c>
      <c r="AG71" s="2" t="s">
        <v>60</v>
      </c>
      <c r="AH71" s="2" t="s">
        <v>1373</v>
      </c>
      <c r="AI71" s="2" t="s">
        <v>62</v>
      </c>
    </row>
    <row r="72" spans="1:35" x14ac:dyDescent="0.25">
      <c r="A72" s="2" t="s">
        <v>1374</v>
      </c>
      <c r="B72" s="2" t="s">
        <v>1375</v>
      </c>
      <c r="C72" s="2" t="s">
        <v>37</v>
      </c>
      <c r="D72" s="2" t="s">
        <v>38</v>
      </c>
      <c r="E72" s="2" t="s">
        <v>1376</v>
      </c>
      <c r="F72" s="2">
        <f>1-555-1071</f>
        <v>-1625</v>
      </c>
      <c r="G72" s="2" t="b">
        <v>1</v>
      </c>
      <c r="H72" s="2" t="b">
        <v>1</v>
      </c>
      <c r="I72" s="2" t="s">
        <v>1377</v>
      </c>
      <c r="J72" s="2" t="s">
        <v>1378</v>
      </c>
      <c r="K72" s="2" t="s">
        <v>1379</v>
      </c>
      <c r="L72" s="2" t="s">
        <v>1380</v>
      </c>
      <c r="M72" s="2" t="s">
        <v>1381</v>
      </c>
      <c r="N72" s="2" t="s">
        <v>1382</v>
      </c>
      <c r="O72" s="2" t="s">
        <v>1383</v>
      </c>
      <c r="P72" s="2" t="s">
        <v>1384</v>
      </c>
      <c r="Q72" s="2" t="s">
        <v>1385</v>
      </c>
      <c r="R72" s="2" t="s">
        <v>1386</v>
      </c>
      <c r="S72" s="2" t="s">
        <v>1387</v>
      </c>
      <c r="T72" s="2" t="s">
        <v>1388</v>
      </c>
      <c r="U72" s="2" t="s">
        <v>1389</v>
      </c>
      <c r="V72" s="2" t="s">
        <v>1390</v>
      </c>
      <c r="W72" s="2" t="s">
        <v>1391</v>
      </c>
      <c r="X72" s="2" t="s">
        <v>37</v>
      </c>
      <c r="Y72" s="4" t="s">
        <v>55</v>
      </c>
      <c r="Z72" s="4" t="s">
        <v>56</v>
      </c>
      <c r="AA72" s="4" t="s">
        <v>57</v>
      </c>
      <c r="AB72" s="4">
        <v>1852</v>
      </c>
      <c r="AC72" s="4">
        <v>31</v>
      </c>
      <c r="AD72" s="4">
        <v>121</v>
      </c>
      <c r="AE72" s="2" t="s">
        <v>58</v>
      </c>
      <c r="AF72" s="2" t="s">
        <v>59</v>
      </c>
      <c r="AG72" s="2" t="s">
        <v>60</v>
      </c>
      <c r="AH72" s="2" t="s">
        <v>1392</v>
      </c>
      <c r="AI72" s="2" t="s">
        <v>62</v>
      </c>
    </row>
    <row r="73" spans="1:35" x14ac:dyDescent="0.25">
      <c r="A73" s="2" t="s">
        <v>1393</v>
      </c>
      <c r="B73" s="2" t="s">
        <v>1394</v>
      </c>
      <c r="C73" s="2" t="s">
        <v>37</v>
      </c>
      <c r="D73" s="2" t="s">
        <v>38</v>
      </c>
      <c r="E73" s="2" t="s">
        <v>1395</v>
      </c>
      <c r="F73" s="2">
        <f>1-555-1072</f>
        <v>-1626</v>
      </c>
      <c r="G73" s="2" t="b">
        <v>1</v>
      </c>
      <c r="H73" s="2" t="b">
        <v>1</v>
      </c>
      <c r="I73" s="2" t="s">
        <v>1396</v>
      </c>
      <c r="J73" s="2" t="s">
        <v>1397</v>
      </c>
      <c r="K73" s="2" t="s">
        <v>1398</v>
      </c>
      <c r="L73" s="2" t="s">
        <v>1399</v>
      </c>
      <c r="M73" s="2" t="s">
        <v>1400</v>
      </c>
      <c r="N73" s="2" t="s">
        <v>1401</v>
      </c>
      <c r="O73" s="2" t="s">
        <v>1402</v>
      </c>
      <c r="P73" s="2" t="s">
        <v>1403</v>
      </c>
      <c r="Q73" s="2" t="s">
        <v>1404</v>
      </c>
      <c r="R73" s="2" t="s">
        <v>1405</v>
      </c>
      <c r="S73" s="2" t="s">
        <v>1406</v>
      </c>
      <c r="T73" s="2" t="s">
        <v>1407</v>
      </c>
      <c r="U73" s="2" t="s">
        <v>1408</v>
      </c>
      <c r="V73" s="2" t="s">
        <v>1409</v>
      </c>
      <c r="W73" s="2" t="s">
        <v>1410</v>
      </c>
      <c r="X73" s="2" t="s">
        <v>37</v>
      </c>
      <c r="Y73" s="4" t="s">
        <v>55</v>
      </c>
      <c r="Z73" s="4" t="s">
        <v>56</v>
      </c>
      <c r="AA73" s="4" t="s">
        <v>57</v>
      </c>
      <c r="AB73" s="4">
        <v>1864</v>
      </c>
      <c r="AC73" s="4">
        <v>32</v>
      </c>
      <c r="AD73" s="4">
        <v>122</v>
      </c>
      <c r="AE73" s="2" t="s">
        <v>58</v>
      </c>
      <c r="AF73" s="2" t="s">
        <v>59</v>
      </c>
      <c r="AG73" s="2" t="s">
        <v>60</v>
      </c>
      <c r="AH73" s="2" t="s">
        <v>1411</v>
      </c>
      <c r="AI73" s="2" t="s">
        <v>62</v>
      </c>
    </row>
    <row r="74" spans="1:35" x14ac:dyDescent="0.25">
      <c r="A74" s="2" t="s">
        <v>1412</v>
      </c>
      <c r="B74" s="2" t="s">
        <v>1413</v>
      </c>
      <c r="C74" s="2" t="s">
        <v>37</v>
      </c>
      <c r="D74" s="2" t="s">
        <v>38</v>
      </c>
      <c r="E74" s="2" t="s">
        <v>1414</v>
      </c>
      <c r="F74" s="2">
        <f>1-555-1073</f>
        <v>-1627</v>
      </c>
      <c r="G74" s="2" t="b">
        <v>1</v>
      </c>
      <c r="H74" s="2" t="b">
        <v>1</v>
      </c>
      <c r="I74" s="2" t="s">
        <v>1415</v>
      </c>
      <c r="J74" s="2" t="s">
        <v>1416</v>
      </c>
      <c r="K74" s="2" t="s">
        <v>1417</v>
      </c>
      <c r="L74" s="2" t="s">
        <v>1418</v>
      </c>
      <c r="M74" s="2" t="s">
        <v>1419</v>
      </c>
      <c r="N74" s="2" t="s">
        <v>1420</v>
      </c>
      <c r="O74" s="2" t="s">
        <v>1421</v>
      </c>
      <c r="P74" s="2" t="s">
        <v>1422</v>
      </c>
      <c r="Q74" s="2" t="s">
        <v>1423</v>
      </c>
      <c r="R74" s="2" t="s">
        <v>1424</v>
      </c>
      <c r="S74" s="2" t="s">
        <v>1425</v>
      </c>
      <c r="T74" s="2" t="s">
        <v>1426</v>
      </c>
      <c r="U74" s="2" t="s">
        <v>1427</v>
      </c>
      <c r="V74" s="2" t="s">
        <v>1428</v>
      </c>
      <c r="W74" s="2" t="s">
        <v>1429</v>
      </c>
      <c r="X74" s="2" t="s">
        <v>37</v>
      </c>
      <c r="Y74" s="4" t="s">
        <v>55</v>
      </c>
      <c r="Z74" s="4" t="s">
        <v>56</v>
      </c>
      <c r="AA74" s="4" t="s">
        <v>57</v>
      </c>
      <c r="AB74" s="4">
        <v>1876</v>
      </c>
      <c r="AC74" s="4">
        <v>33</v>
      </c>
      <c r="AD74" s="4">
        <v>123</v>
      </c>
      <c r="AE74" s="2" t="s">
        <v>58</v>
      </c>
      <c r="AF74" s="2" t="s">
        <v>59</v>
      </c>
      <c r="AG74" s="2" t="s">
        <v>60</v>
      </c>
      <c r="AH74" s="2" t="s">
        <v>1430</v>
      </c>
      <c r="AI74" s="2" t="s">
        <v>62</v>
      </c>
    </row>
    <row r="75" spans="1:35" x14ac:dyDescent="0.25">
      <c r="A75" s="2" t="s">
        <v>1431</v>
      </c>
      <c r="B75" s="2" t="s">
        <v>1432</v>
      </c>
      <c r="C75" s="2" t="s">
        <v>37</v>
      </c>
      <c r="D75" s="2" t="s">
        <v>38</v>
      </c>
      <c r="E75" s="2" t="s">
        <v>1433</v>
      </c>
      <c r="F75" s="2">
        <f>1-555-1074</f>
        <v>-1628</v>
      </c>
      <c r="G75" s="2" t="b">
        <v>1</v>
      </c>
      <c r="H75" s="2" t="b">
        <v>1</v>
      </c>
      <c r="I75" s="2" t="s">
        <v>1434</v>
      </c>
      <c r="J75" s="2" t="s">
        <v>1435</v>
      </c>
      <c r="K75" s="2" t="s">
        <v>1436</v>
      </c>
      <c r="L75" s="2" t="s">
        <v>1437</v>
      </c>
      <c r="M75" s="2" t="s">
        <v>1438</v>
      </c>
      <c r="N75" s="2" t="s">
        <v>1439</v>
      </c>
      <c r="O75" s="2" t="s">
        <v>1440</v>
      </c>
      <c r="P75" s="2" t="s">
        <v>1441</v>
      </c>
      <c r="Q75" s="2" t="s">
        <v>1442</v>
      </c>
      <c r="R75" s="2" t="s">
        <v>1443</v>
      </c>
      <c r="S75" s="2" t="s">
        <v>1444</v>
      </c>
      <c r="T75" s="2" t="s">
        <v>1445</v>
      </c>
      <c r="U75" s="2" t="s">
        <v>1446</v>
      </c>
      <c r="V75" s="2" t="s">
        <v>1447</v>
      </c>
      <c r="W75" s="2" t="s">
        <v>1448</v>
      </c>
      <c r="X75" s="2" t="s">
        <v>37</v>
      </c>
      <c r="Y75" s="4" t="s">
        <v>55</v>
      </c>
      <c r="Z75" s="4" t="s">
        <v>56</v>
      </c>
      <c r="AA75" s="4" t="s">
        <v>57</v>
      </c>
      <c r="AB75" s="4">
        <v>1888</v>
      </c>
      <c r="AC75" s="4">
        <v>34</v>
      </c>
      <c r="AD75" s="4">
        <v>124</v>
      </c>
      <c r="AE75" s="2" t="s">
        <v>58</v>
      </c>
      <c r="AF75" s="2" t="s">
        <v>59</v>
      </c>
      <c r="AG75" s="2" t="s">
        <v>60</v>
      </c>
      <c r="AH75" s="2" t="s">
        <v>1449</v>
      </c>
      <c r="AI75" s="2" t="s">
        <v>62</v>
      </c>
    </row>
    <row r="76" spans="1:35" x14ac:dyDescent="0.25">
      <c r="A76" s="2" t="s">
        <v>1450</v>
      </c>
      <c r="B76" s="2" t="s">
        <v>1451</v>
      </c>
      <c r="C76" s="2" t="s">
        <v>37</v>
      </c>
      <c r="D76" s="2" t="s">
        <v>38</v>
      </c>
      <c r="E76" s="2" t="s">
        <v>1452</v>
      </c>
      <c r="F76" s="2">
        <f>1-555-1075</f>
        <v>-1629</v>
      </c>
      <c r="G76" s="2" t="b">
        <v>1</v>
      </c>
      <c r="H76" s="2" t="b">
        <v>1</v>
      </c>
      <c r="I76" s="2" t="s">
        <v>1453</v>
      </c>
      <c r="J76" s="2" t="s">
        <v>1454</v>
      </c>
      <c r="K76" s="2" t="s">
        <v>1455</v>
      </c>
      <c r="L76" s="2" t="s">
        <v>1456</v>
      </c>
      <c r="M76" s="2" t="s">
        <v>1457</v>
      </c>
      <c r="N76" s="2" t="s">
        <v>1458</v>
      </c>
      <c r="O76" s="2" t="s">
        <v>1459</v>
      </c>
      <c r="P76" s="2" t="s">
        <v>1460</v>
      </c>
      <c r="Q76" s="2" t="s">
        <v>1461</v>
      </c>
      <c r="R76" s="2" t="s">
        <v>1462</v>
      </c>
      <c r="S76" s="2" t="s">
        <v>1463</v>
      </c>
      <c r="T76" s="2" t="s">
        <v>1464</v>
      </c>
      <c r="U76" s="2" t="s">
        <v>1465</v>
      </c>
      <c r="V76" s="2" t="s">
        <v>1466</v>
      </c>
      <c r="W76" s="2" t="s">
        <v>1467</v>
      </c>
      <c r="X76" s="2" t="s">
        <v>37</v>
      </c>
      <c r="Y76" s="4" t="s">
        <v>55</v>
      </c>
      <c r="Z76" s="4" t="s">
        <v>56</v>
      </c>
      <c r="AA76" s="4" t="s">
        <v>57</v>
      </c>
      <c r="AB76" s="4">
        <v>1900</v>
      </c>
      <c r="AC76" s="4">
        <v>35</v>
      </c>
      <c r="AD76" s="4">
        <v>125</v>
      </c>
      <c r="AE76" s="2" t="s">
        <v>58</v>
      </c>
      <c r="AF76" s="2" t="s">
        <v>59</v>
      </c>
      <c r="AG76" s="2" t="s">
        <v>60</v>
      </c>
      <c r="AH76" s="2" t="s">
        <v>1468</v>
      </c>
      <c r="AI76" s="2" t="s">
        <v>62</v>
      </c>
    </row>
    <row r="77" spans="1:35" x14ac:dyDescent="0.25">
      <c r="A77" s="2" t="s">
        <v>1469</v>
      </c>
      <c r="B77" s="2" t="s">
        <v>1470</v>
      </c>
      <c r="C77" s="2" t="s">
        <v>37</v>
      </c>
      <c r="D77" s="2" t="s">
        <v>38</v>
      </c>
      <c r="E77" s="2" t="s">
        <v>1471</v>
      </c>
      <c r="F77" s="2">
        <f>1-555-1076</f>
        <v>-1630</v>
      </c>
      <c r="G77" s="2" t="b">
        <v>1</v>
      </c>
      <c r="H77" s="2" t="b">
        <v>1</v>
      </c>
      <c r="I77" s="2" t="s">
        <v>1472</v>
      </c>
      <c r="J77" s="2" t="s">
        <v>1473</v>
      </c>
      <c r="K77" s="2" t="s">
        <v>1474</v>
      </c>
      <c r="L77" s="2" t="s">
        <v>1475</v>
      </c>
      <c r="M77" s="2" t="s">
        <v>1476</v>
      </c>
      <c r="N77" s="2" t="s">
        <v>1477</v>
      </c>
      <c r="O77" s="2" t="s">
        <v>1478</v>
      </c>
      <c r="P77" s="2" t="s">
        <v>1479</v>
      </c>
      <c r="Q77" s="2" t="s">
        <v>1480</v>
      </c>
      <c r="R77" s="2" t="s">
        <v>1481</v>
      </c>
      <c r="S77" s="2" t="s">
        <v>1482</v>
      </c>
      <c r="T77" s="2" t="s">
        <v>1483</v>
      </c>
      <c r="U77" s="2" t="s">
        <v>1484</v>
      </c>
      <c r="V77" s="2" t="s">
        <v>1485</v>
      </c>
      <c r="W77" s="2" t="s">
        <v>1486</v>
      </c>
      <c r="X77" s="2" t="s">
        <v>37</v>
      </c>
      <c r="Y77" s="4" t="s">
        <v>55</v>
      </c>
      <c r="Z77" s="4" t="s">
        <v>56</v>
      </c>
      <c r="AA77" s="4" t="s">
        <v>57</v>
      </c>
      <c r="AB77" s="4">
        <v>1912</v>
      </c>
      <c r="AC77" s="4">
        <v>36</v>
      </c>
      <c r="AD77" s="4">
        <v>126</v>
      </c>
      <c r="AE77" s="2" t="s">
        <v>58</v>
      </c>
      <c r="AF77" s="2" t="s">
        <v>59</v>
      </c>
      <c r="AG77" s="2" t="s">
        <v>60</v>
      </c>
      <c r="AH77" s="2" t="s">
        <v>1487</v>
      </c>
      <c r="AI77" s="2" t="s">
        <v>62</v>
      </c>
    </row>
    <row r="78" spans="1:35" x14ac:dyDescent="0.25">
      <c r="A78" s="2" t="s">
        <v>1488</v>
      </c>
      <c r="B78" s="2" t="s">
        <v>1489</v>
      </c>
      <c r="C78" s="2" t="s">
        <v>37</v>
      </c>
      <c r="D78" s="2" t="s">
        <v>38</v>
      </c>
      <c r="E78" s="2" t="s">
        <v>1490</v>
      </c>
      <c r="F78" s="2">
        <f>1-555-1077</f>
        <v>-1631</v>
      </c>
      <c r="G78" s="2" t="b">
        <v>1</v>
      </c>
      <c r="H78" s="2" t="b">
        <v>1</v>
      </c>
      <c r="I78" s="2" t="s">
        <v>1491</v>
      </c>
      <c r="J78" s="2" t="s">
        <v>1492</v>
      </c>
      <c r="K78" s="2" t="s">
        <v>1493</v>
      </c>
      <c r="L78" s="2" t="s">
        <v>1494</v>
      </c>
      <c r="M78" s="2" t="s">
        <v>1495</v>
      </c>
      <c r="N78" s="2" t="s">
        <v>1496</v>
      </c>
      <c r="O78" s="2" t="s">
        <v>1497</v>
      </c>
      <c r="P78" s="2" t="s">
        <v>1498</v>
      </c>
      <c r="Q78" s="2" t="s">
        <v>1499</v>
      </c>
      <c r="R78" s="2" t="s">
        <v>1500</v>
      </c>
      <c r="S78" s="2" t="s">
        <v>1501</v>
      </c>
      <c r="T78" s="2" t="s">
        <v>1502</v>
      </c>
      <c r="U78" s="2" t="s">
        <v>1503</v>
      </c>
      <c r="V78" s="2" t="s">
        <v>1504</v>
      </c>
      <c r="W78" s="2" t="s">
        <v>1505</v>
      </c>
      <c r="X78" s="2" t="s">
        <v>37</v>
      </c>
      <c r="Y78" s="4" t="s">
        <v>55</v>
      </c>
      <c r="Z78" s="4" t="s">
        <v>56</v>
      </c>
      <c r="AA78" s="4" t="s">
        <v>57</v>
      </c>
      <c r="AB78" s="4">
        <v>1924</v>
      </c>
      <c r="AC78" s="4">
        <v>37</v>
      </c>
      <c r="AD78" s="4">
        <v>127</v>
      </c>
      <c r="AE78" s="2" t="s">
        <v>58</v>
      </c>
      <c r="AF78" s="2" t="s">
        <v>59</v>
      </c>
      <c r="AG78" s="2" t="s">
        <v>60</v>
      </c>
      <c r="AH78" s="2" t="s">
        <v>1506</v>
      </c>
      <c r="AI78" s="2" t="s">
        <v>62</v>
      </c>
    </row>
    <row r="79" spans="1:35" x14ac:dyDescent="0.25">
      <c r="A79" s="2" t="s">
        <v>1507</v>
      </c>
      <c r="B79" s="2" t="s">
        <v>1508</v>
      </c>
      <c r="C79" s="2" t="s">
        <v>37</v>
      </c>
      <c r="D79" s="2" t="s">
        <v>38</v>
      </c>
      <c r="E79" s="2" t="s">
        <v>1509</v>
      </c>
      <c r="F79" s="2">
        <f>1-555-1078</f>
        <v>-1632</v>
      </c>
      <c r="G79" s="2" t="b">
        <v>1</v>
      </c>
      <c r="H79" s="2" t="b">
        <v>1</v>
      </c>
      <c r="I79" s="2" t="s">
        <v>1510</v>
      </c>
      <c r="J79" s="2" t="s">
        <v>1511</v>
      </c>
      <c r="K79" s="2" t="s">
        <v>1512</v>
      </c>
      <c r="L79" s="2" t="s">
        <v>1513</v>
      </c>
      <c r="M79" s="2" t="s">
        <v>1514</v>
      </c>
      <c r="N79" s="2" t="s">
        <v>1515</v>
      </c>
      <c r="O79" s="2" t="s">
        <v>1516</v>
      </c>
      <c r="P79" s="2" t="s">
        <v>1517</v>
      </c>
      <c r="Q79" s="2" t="s">
        <v>1518</v>
      </c>
      <c r="R79" s="2" t="s">
        <v>1519</v>
      </c>
      <c r="S79" s="2" t="s">
        <v>1520</v>
      </c>
      <c r="T79" s="2" t="s">
        <v>1521</v>
      </c>
      <c r="U79" s="2" t="s">
        <v>1522</v>
      </c>
      <c r="V79" s="2" t="s">
        <v>1523</v>
      </c>
      <c r="W79" s="2" t="s">
        <v>1524</v>
      </c>
      <c r="X79" s="2" t="s">
        <v>37</v>
      </c>
      <c r="Y79" s="4" t="s">
        <v>55</v>
      </c>
      <c r="Z79" s="4" t="s">
        <v>56</v>
      </c>
      <c r="AA79" s="4" t="s">
        <v>57</v>
      </c>
      <c r="AB79" s="4">
        <v>1936</v>
      </c>
      <c r="AC79" s="4">
        <v>38</v>
      </c>
      <c r="AD79" s="4">
        <v>128</v>
      </c>
      <c r="AE79" s="2" t="s">
        <v>58</v>
      </c>
      <c r="AF79" s="2" t="s">
        <v>59</v>
      </c>
      <c r="AG79" s="2" t="s">
        <v>60</v>
      </c>
      <c r="AH79" s="2" t="s">
        <v>1525</v>
      </c>
      <c r="AI79" s="2" t="s">
        <v>62</v>
      </c>
    </row>
    <row r="80" spans="1:35" x14ac:dyDescent="0.25">
      <c r="A80" s="2" t="s">
        <v>1526</v>
      </c>
      <c r="B80" s="2" t="s">
        <v>1527</v>
      </c>
      <c r="C80" s="2" t="s">
        <v>37</v>
      </c>
      <c r="D80" s="2" t="s">
        <v>38</v>
      </c>
      <c r="E80" s="2" t="s">
        <v>1528</v>
      </c>
      <c r="F80" s="2">
        <f>1-555-1079</f>
        <v>-1633</v>
      </c>
      <c r="G80" s="2" t="b">
        <v>1</v>
      </c>
      <c r="H80" s="2" t="b">
        <v>1</v>
      </c>
      <c r="I80" s="2" t="s">
        <v>1529</v>
      </c>
      <c r="J80" s="2" t="s">
        <v>1530</v>
      </c>
      <c r="K80" s="2" t="s">
        <v>1531</v>
      </c>
      <c r="L80" s="2" t="s">
        <v>1532</v>
      </c>
      <c r="M80" s="2" t="s">
        <v>1533</v>
      </c>
      <c r="N80" s="2" t="s">
        <v>1534</v>
      </c>
      <c r="O80" s="2" t="s">
        <v>1535</v>
      </c>
      <c r="P80" s="2" t="s">
        <v>1536</v>
      </c>
      <c r="Q80" s="2" t="s">
        <v>1537</v>
      </c>
      <c r="R80" s="2" t="s">
        <v>1538</v>
      </c>
      <c r="S80" s="2" t="s">
        <v>1539</v>
      </c>
      <c r="T80" s="2" t="s">
        <v>1540</v>
      </c>
      <c r="U80" s="2" t="s">
        <v>1541</v>
      </c>
      <c r="V80" s="2" t="s">
        <v>1542</v>
      </c>
      <c r="W80" s="2" t="s">
        <v>1543</v>
      </c>
      <c r="X80" s="2" t="s">
        <v>37</v>
      </c>
      <c r="Y80" s="4" t="s">
        <v>55</v>
      </c>
      <c r="Z80" s="4" t="s">
        <v>56</v>
      </c>
      <c r="AA80" s="4" t="s">
        <v>57</v>
      </c>
      <c r="AB80" s="4">
        <v>1948</v>
      </c>
      <c r="AC80" s="4">
        <v>39</v>
      </c>
      <c r="AD80" s="4">
        <v>129</v>
      </c>
      <c r="AE80" s="2" t="s">
        <v>58</v>
      </c>
      <c r="AF80" s="2" t="s">
        <v>59</v>
      </c>
      <c r="AG80" s="2" t="s">
        <v>60</v>
      </c>
      <c r="AH80" s="2" t="s">
        <v>1544</v>
      </c>
      <c r="AI80" s="2" t="s">
        <v>62</v>
      </c>
    </row>
    <row r="81" spans="1:35" x14ac:dyDescent="0.25">
      <c r="A81" s="2" t="s">
        <v>1545</v>
      </c>
      <c r="B81" s="2" t="s">
        <v>1546</v>
      </c>
      <c r="C81" s="2" t="s">
        <v>37</v>
      </c>
      <c r="D81" s="2" t="s">
        <v>38</v>
      </c>
      <c r="E81" s="2" t="s">
        <v>1547</v>
      </c>
      <c r="F81" s="2">
        <f>1-555-1080</f>
        <v>-1634</v>
      </c>
      <c r="G81" s="2" t="b">
        <v>1</v>
      </c>
      <c r="H81" s="2" t="b">
        <v>1</v>
      </c>
      <c r="I81" s="2" t="s">
        <v>1548</v>
      </c>
      <c r="J81" s="2" t="s">
        <v>1549</v>
      </c>
      <c r="K81" s="2" t="s">
        <v>1550</v>
      </c>
      <c r="L81" s="2" t="s">
        <v>1551</v>
      </c>
      <c r="M81" s="2" t="s">
        <v>1552</v>
      </c>
      <c r="N81" s="2" t="s">
        <v>1553</v>
      </c>
      <c r="O81" s="2" t="s">
        <v>1554</v>
      </c>
      <c r="P81" s="2" t="s">
        <v>1555</v>
      </c>
      <c r="Q81" s="2" t="s">
        <v>1556</v>
      </c>
      <c r="R81" s="2" t="s">
        <v>1557</v>
      </c>
      <c r="S81" s="2" t="s">
        <v>1558</v>
      </c>
      <c r="T81" s="2" t="s">
        <v>1559</v>
      </c>
      <c r="U81" s="2" t="s">
        <v>1560</v>
      </c>
      <c r="V81" s="2" t="s">
        <v>1561</v>
      </c>
      <c r="W81" s="2" t="s">
        <v>1562</v>
      </c>
      <c r="X81" s="2" t="s">
        <v>37</v>
      </c>
      <c r="Y81" s="4" t="s">
        <v>55</v>
      </c>
      <c r="Z81" s="4" t="s">
        <v>56</v>
      </c>
      <c r="AA81" s="4" t="s">
        <v>57</v>
      </c>
      <c r="AB81" s="4">
        <v>1960</v>
      </c>
      <c r="AC81" s="4">
        <v>20</v>
      </c>
      <c r="AD81" s="4">
        <v>130</v>
      </c>
      <c r="AE81" s="2" t="s">
        <v>58</v>
      </c>
      <c r="AF81" s="2" t="s">
        <v>59</v>
      </c>
      <c r="AG81" s="2" t="s">
        <v>60</v>
      </c>
      <c r="AH81" s="2" t="s">
        <v>1563</v>
      </c>
      <c r="AI81" s="2" t="s">
        <v>62</v>
      </c>
    </row>
    <row r="82" spans="1:35" x14ac:dyDescent="0.25">
      <c r="A82" s="2" t="s">
        <v>1564</v>
      </c>
      <c r="B82" s="2" t="s">
        <v>1565</v>
      </c>
      <c r="C82" s="2" t="s">
        <v>37</v>
      </c>
      <c r="D82" s="2" t="s">
        <v>38</v>
      </c>
      <c r="E82" s="2" t="s">
        <v>1566</v>
      </c>
      <c r="F82" s="2">
        <f>1-555-1081</f>
        <v>-1635</v>
      </c>
      <c r="G82" s="2" t="b">
        <v>1</v>
      </c>
      <c r="H82" s="2" t="b">
        <v>1</v>
      </c>
      <c r="I82" s="2" t="s">
        <v>1567</v>
      </c>
      <c r="J82" s="2" t="s">
        <v>1568</v>
      </c>
      <c r="K82" s="2" t="s">
        <v>1569</v>
      </c>
      <c r="L82" s="2" t="s">
        <v>1570</v>
      </c>
      <c r="M82" s="2" t="s">
        <v>1571</v>
      </c>
      <c r="N82" s="2" t="s">
        <v>1572</v>
      </c>
      <c r="O82" s="2" t="s">
        <v>1573</v>
      </c>
      <c r="P82" s="2" t="s">
        <v>1574</v>
      </c>
      <c r="Q82" s="2" t="s">
        <v>1575</v>
      </c>
      <c r="R82" s="2" t="s">
        <v>1576</v>
      </c>
      <c r="S82" s="2" t="s">
        <v>1577</v>
      </c>
      <c r="T82" s="2" t="s">
        <v>1578</v>
      </c>
      <c r="U82" s="2" t="s">
        <v>1579</v>
      </c>
      <c r="V82" s="2" t="s">
        <v>1580</v>
      </c>
      <c r="W82" s="2" t="s">
        <v>1581</v>
      </c>
      <c r="X82" s="2" t="s">
        <v>37</v>
      </c>
      <c r="Y82" s="4" t="s">
        <v>55</v>
      </c>
      <c r="Z82" s="4" t="s">
        <v>56</v>
      </c>
      <c r="AA82" s="4" t="s">
        <v>57</v>
      </c>
      <c r="AB82" s="4">
        <v>1972</v>
      </c>
      <c r="AC82" s="4">
        <v>21</v>
      </c>
      <c r="AD82" s="4">
        <v>131</v>
      </c>
      <c r="AE82" s="2" t="s">
        <v>58</v>
      </c>
      <c r="AF82" s="2" t="s">
        <v>59</v>
      </c>
      <c r="AG82" s="2" t="s">
        <v>60</v>
      </c>
      <c r="AH82" s="2" t="s">
        <v>1582</v>
      </c>
      <c r="AI82" s="2" t="s">
        <v>62</v>
      </c>
    </row>
    <row r="83" spans="1:35" x14ac:dyDescent="0.25">
      <c r="A83" s="2" t="s">
        <v>1583</v>
      </c>
      <c r="B83" s="2" t="s">
        <v>1584</v>
      </c>
      <c r="C83" s="2" t="s">
        <v>37</v>
      </c>
      <c r="D83" s="2" t="s">
        <v>38</v>
      </c>
      <c r="E83" s="2" t="s">
        <v>1585</v>
      </c>
      <c r="F83" s="2">
        <f>1-555-1082</f>
        <v>-1636</v>
      </c>
      <c r="G83" s="2" t="b">
        <v>1</v>
      </c>
      <c r="H83" s="2" t="b">
        <v>1</v>
      </c>
      <c r="I83" s="2" t="s">
        <v>1586</v>
      </c>
      <c r="J83" s="2" t="s">
        <v>1587</v>
      </c>
      <c r="K83" s="2" t="s">
        <v>1588</v>
      </c>
      <c r="L83" s="2" t="s">
        <v>1589</v>
      </c>
      <c r="M83" s="2" t="s">
        <v>1590</v>
      </c>
      <c r="N83" s="2" t="s">
        <v>1591</v>
      </c>
      <c r="O83" s="2" t="s">
        <v>1592</v>
      </c>
      <c r="P83" s="2" t="s">
        <v>1593</v>
      </c>
      <c r="Q83" s="2" t="s">
        <v>1594</v>
      </c>
      <c r="R83" s="2" t="s">
        <v>1595</v>
      </c>
      <c r="S83" s="2" t="s">
        <v>1596</v>
      </c>
      <c r="T83" s="2" t="s">
        <v>1597</v>
      </c>
      <c r="U83" s="2" t="s">
        <v>1598</v>
      </c>
      <c r="V83" s="2" t="s">
        <v>1599</v>
      </c>
      <c r="W83" s="2" t="s">
        <v>1600</v>
      </c>
      <c r="X83" s="2" t="s">
        <v>37</v>
      </c>
      <c r="Y83" s="4" t="s">
        <v>55</v>
      </c>
      <c r="Z83" s="4" t="s">
        <v>56</v>
      </c>
      <c r="AA83" s="4" t="s">
        <v>57</v>
      </c>
      <c r="AB83" s="4">
        <v>1984</v>
      </c>
      <c r="AC83" s="4">
        <v>22</v>
      </c>
      <c r="AD83" s="4">
        <v>132</v>
      </c>
      <c r="AE83" s="2" t="s">
        <v>58</v>
      </c>
      <c r="AF83" s="2" t="s">
        <v>59</v>
      </c>
      <c r="AG83" s="2" t="s">
        <v>60</v>
      </c>
      <c r="AH83" s="2" t="s">
        <v>1601</v>
      </c>
      <c r="AI83" s="2" t="s">
        <v>62</v>
      </c>
    </row>
    <row r="84" spans="1:35" x14ac:dyDescent="0.25">
      <c r="A84" s="2" t="s">
        <v>1602</v>
      </c>
      <c r="B84" s="2" t="s">
        <v>1603</v>
      </c>
      <c r="C84" s="2" t="s">
        <v>37</v>
      </c>
      <c r="D84" s="2" t="s">
        <v>38</v>
      </c>
      <c r="E84" s="2" t="s">
        <v>1604</v>
      </c>
      <c r="F84" s="2">
        <f>1-555-1083</f>
        <v>-1637</v>
      </c>
      <c r="G84" s="2" t="b">
        <v>1</v>
      </c>
      <c r="H84" s="2" t="b">
        <v>1</v>
      </c>
      <c r="I84" s="2" t="s">
        <v>1605</v>
      </c>
      <c r="J84" s="2" t="s">
        <v>1606</v>
      </c>
      <c r="K84" s="2" t="s">
        <v>1607</v>
      </c>
      <c r="L84" s="2" t="s">
        <v>1608</v>
      </c>
      <c r="M84" s="2" t="s">
        <v>1609</v>
      </c>
      <c r="N84" s="2" t="s">
        <v>1610</v>
      </c>
      <c r="O84" s="2" t="s">
        <v>1611</v>
      </c>
      <c r="P84" s="2" t="s">
        <v>1612</v>
      </c>
      <c r="Q84" s="2" t="s">
        <v>1613</v>
      </c>
      <c r="R84" s="2" t="s">
        <v>1614</v>
      </c>
      <c r="S84" s="2" t="s">
        <v>1615</v>
      </c>
      <c r="T84" s="2" t="s">
        <v>1616</v>
      </c>
      <c r="U84" s="2" t="s">
        <v>1617</v>
      </c>
      <c r="V84" s="2" t="s">
        <v>1618</v>
      </c>
      <c r="W84" s="2" t="s">
        <v>1619</v>
      </c>
      <c r="X84" s="2" t="s">
        <v>37</v>
      </c>
      <c r="Y84" s="4" t="s">
        <v>55</v>
      </c>
      <c r="Z84" s="4" t="s">
        <v>56</v>
      </c>
      <c r="AA84" s="4" t="s">
        <v>57</v>
      </c>
      <c r="AB84" s="4">
        <v>1996</v>
      </c>
      <c r="AC84" s="4">
        <v>23</v>
      </c>
      <c r="AD84" s="4">
        <v>133</v>
      </c>
      <c r="AE84" s="2" t="s">
        <v>58</v>
      </c>
      <c r="AF84" s="2" t="s">
        <v>59</v>
      </c>
      <c r="AG84" s="2" t="s">
        <v>60</v>
      </c>
      <c r="AH84" s="2" t="s">
        <v>1620</v>
      </c>
      <c r="AI84" s="2" t="s">
        <v>62</v>
      </c>
    </row>
    <row r="85" spans="1:35" x14ac:dyDescent="0.25">
      <c r="A85" s="2" t="s">
        <v>1621</v>
      </c>
      <c r="B85" s="2" t="s">
        <v>1622</v>
      </c>
      <c r="C85" s="2" t="s">
        <v>37</v>
      </c>
      <c r="D85" s="2" t="s">
        <v>38</v>
      </c>
      <c r="E85" s="2" t="s">
        <v>1623</v>
      </c>
      <c r="F85" s="2">
        <f>1-555-1084</f>
        <v>-1638</v>
      </c>
      <c r="G85" s="2" t="b">
        <v>1</v>
      </c>
      <c r="H85" s="2" t="b">
        <v>1</v>
      </c>
      <c r="I85" s="2" t="s">
        <v>1624</v>
      </c>
      <c r="J85" s="2" t="s">
        <v>1625</v>
      </c>
      <c r="K85" s="2" t="s">
        <v>1626</v>
      </c>
      <c r="L85" s="2" t="s">
        <v>1627</v>
      </c>
      <c r="M85" s="2" t="s">
        <v>1628</v>
      </c>
      <c r="N85" s="2" t="s">
        <v>1629</v>
      </c>
      <c r="O85" s="2" t="s">
        <v>1630</v>
      </c>
      <c r="P85" s="2" t="s">
        <v>1631</v>
      </c>
      <c r="Q85" s="2" t="s">
        <v>1632</v>
      </c>
      <c r="R85" s="2" t="s">
        <v>1633</v>
      </c>
      <c r="S85" s="2" t="s">
        <v>1634</v>
      </c>
      <c r="T85" s="2" t="s">
        <v>1635</v>
      </c>
      <c r="U85" s="2" t="s">
        <v>1636</v>
      </c>
      <c r="V85" s="2" t="s">
        <v>1637</v>
      </c>
      <c r="W85" s="2" t="s">
        <v>1638</v>
      </c>
      <c r="X85" s="2" t="s">
        <v>37</v>
      </c>
      <c r="Y85" s="4" t="s">
        <v>55</v>
      </c>
      <c r="Z85" s="4" t="s">
        <v>56</v>
      </c>
      <c r="AA85" s="4" t="s">
        <v>57</v>
      </c>
      <c r="AB85" s="4">
        <v>2008</v>
      </c>
      <c r="AC85" s="4">
        <v>24</v>
      </c>
      <c r="AD85" s="4">
        <v>134</v>
      </c>
      <c r="AE85" s="2" t="s">
        <v>58</v>
      </c>
      <c r="AF85" s="2" t="s">
        <v>59</v>
      </c>
      <c r="AG85" s="2" t="s">
        <v>60</v>
      </c>
      <c r="AH85" s="2" t="s">
        <v>1639</v>
      </c>
      <c r="AI85" s="2" t="s">
        <v>62</v>
      </c>
    </row>
    <row r="86" spans="1:35" x14ac:dyDescent="0.25">
      <c r="A86" s="2" t="s">
        <v>1640</v>
      </c>
      <c r="B86" s="2" t="s">
        <v>1641</v>
      </c>
      <c r="C86" s="2" t="s">
        <v>37</v>
      </c>
      <c r="D86" s="2" t="s">
        <v>38</v>
      </c>
      <c r="E86" s="2" t="s">
        <v>1642</v>
      </c>
      <c r="F86" s="2">
        <f>1-555-1085</f>
        <v>-1639</v>
      </c>
      <c r="G86" s="2" t="b">
        <v>1</v>
      </c>
      <c r="H86" s="2" t="b">
        <v>1</v>
      </c>
      <c r="I86" s="2" t="s">
        <v>1643</v>
      </c>
      <c r="J86" s="2" t="s">
        <v>1644</v>
      </c>
      <c r="K86" s="2" t="s">
        <v>1645</v>
      </c>
      <c r="L86" s="2" t="s">
        <v>1646</v>
      </c>
      <c r="M86" s="2" t="s">
        <v>1647</v>
      </c>
      <c r="N86" s="2" t="s">
        <v>1648</v>
      </c>
      <c r="O86" s="2" t="s">
        <v>1649</v>
      </c>
      <c r="P86" s="2" t="s">
        <v>1650</v>
      </c>
      <c r="Q86" s="2" t="s">
        <v>1651</v>
      </c>
      <c r="R86" s="2" t="s">
        <v>1652</v>
      </c>
      <c r="S86" s="2" t="s">
        <v>1653</v>
      </c>
      <c r="T86" s="2" t="s">
        <v>1654</v>
      </c>
      <c r="U86" s="2" t="s">
        <v>1655</v>
      </c>
      <c r="V86" s="2" t="s">
        <v>1656</v>
      </c>
      <c r="W86" s="2" t="s">
        <v>1657</v>
      </c>
      <c r="X86" s="2" t="s">
        <v>37</v>
      </c>
      <c r="Y86" s="4" t="s">
        <v>55</v>
      </c>
      <c r="Z86" s="4" t="s">
        <v>56</v>
      </c>
      <c r="AA86" s="4" t="s">
        <v>57</v>
      </c>
      <c r="AB86" s="4">
        <v>2020</v>
      </c>
      <c r="AC86" s="4">
        <v>25</v>
      </c>
      <c r="AD86" s="4">
        <v>135</v>
      </c>
      <c r="AE86" s="2" t="s">
        <v>58</v>
      </c>
      <c r="AF86" s="2" t="s">
        <v>59</v>
      </c>
      <c r="AG86" s="2" t="s">
        <v>60</v>
      </c>
      <c r="AH86" s="2" t="s">
        <v>1658</v>
      </c>
      <c r="AI86" s="2" t="s">
        <v>62</v>
      </c>
    </row>
    <row r="87" spans="1:35" x14ac:dyDescent="0.25">
      <c r="A87" s="2" t="s">
        <v>1659</v>
      </c>
      <c r="B87" s="2" t="s">
        <v>1660</v>
      </c>
      <c r="C87" s="2" t="s">
        <v>37</v>
      </c>
      <c r="D87" s="2" t="s">
        <v>38</v>
      </c>
      <c r="E87" s="2" t="s">
        <v>1661</v>
      </c>
      <c r="F87" s="2">
        <f>1-555-1086</f>
        <v>-1640</v>
      </c>
      <c r="G87" s="2" t="b">
        <v>1</v>
      </c>
      <c r="H87" s="2" t="b">
        <v>1</v>
      </c>
      <c r="I87" s="2" t="s">
        <v>1662</v>
      </c>
      <c r="J87" s="2" t="s">
        <v>1663</v>
      </c>
      <c r="K87" s="2" t="s">
        <v>1664</v>
      </c>
      <c r="L87" s="2" t="s">
        <v>1665</v>
      </c>
      <c r="M87" s="2" t="s">
        <v>1666</v>
      </c>
      <c r="N87" s="2" t="s">
        <v>1667</v>
      </c>
      <c r="O87" s="2" t="s">
        <v>1668</v>
      </c>
      <c r="P87" s="2" t="s">
        <v>1669</v>
      </c>
      <c r="Q87" s="2" t="s">
        <v>1670</v>
      </c>
      <c r="R87" s="2" t="s">
        <v>1671</v>
      </c>
      <c r="S87" s="2" t="s">
        <v>1672</v>
      </c>
      <c r="T87" s="2" t="s">
        <v>1673</v>
      </c>
      <c r="U87" s="2" t="s">
        <v>1674</v>
      </c>
      <c r="V87" s="2" t="s">
        <v>1675</v>
      </c>
      <c r="W87" s="2" t="s">
        <v>1676</v>
      </c>
      <c r="X87" s="2" t="s">
        <v>37</v>
      </c>
      <c r="Y87" s="4" t="s">
        <v>55</v>
      </c>
      <c r="Z87" s="4" t="s">
        <v>56</v>
      </c>
      <c r="AA87" s="4" t="s">
        <v>57</v>
      </c>
      <c r="AB87" s="4">
        <v>2032</v>
      </c>
      <c r="AC87" s="4">
        <v>26</v>
      </c>
      <c r="AD87" s="4">
        <v>136</v>
      </c>
      <c r="AE87" s="2" t="s">
        <v>58</v>
      </c>
      <c r="AF87" s="2" t="s">
        <v>59</v>
      </c>
      <c r="AG87" s="2" t="s">
        <v>60</v>
      </c>
      <c r="AH87" s="2" t="s">
        <v>1677</v>
      </c>
      <c r="AI87" s="2" t="s">
        <v>62</v>
      </c>
    </row>
    <row r="88" spans="1:35" x14ac:dyDescent="0.25">
      <c r="A88" s="2" t="s">
        <v>1678</v>
      </c>
      <c r="B88" s="2" t="s">
        <v>1679</v>
      </c>
      <c r="C88" s="2" t="s">
        <v>37</v>
      </c>
      <c r="D88" s="2" t="s">
        <v>38</v>
      </c>
      <c r="E88" s="2" t="s">
        <v>1680</v>
      </c>
      <c r="F88" s="2">
        <f>1-555-1087</f>
        <v>-1641</v>
      </c>
      <c r="G88" s="2" t="b">
        <v>1</v>
      </c>
      <c r="H88" s="2" t="b">
        <v>1</v>
      </c>
      <c r="I88" s="2" t="s">
        <v>1681</v>
      </c>
      <c r="J88" s="2" t="s">
        <v>1682</v>
      </c>
      <c r="K88" s="2" t="s">
        <v>1683</v>
      </c>
      <c r="L88" s="2" t="s">
        <v>1684</v>
      </c>
      <c r="M88" s="2" t="s">
        <v>1685</v>
      </c>
      <c r="N88" s="2" t="s">
        <v>1686</v>
      </c>
      <c r="O88" s="2" t="s">
        <v>1687</v>
      </c>
      <c r="P88" s="2" t="s">
        <v>1688</v>
      </c>
      <c r="Q88" s="2" t="s">
        <v>1689</v>
      </c>
      <c r="R88" s="2" t="s">
        <v>1690</v>
      </c>
      <c r="S88" s="2" t="s">
        <v>1691</v>
      </c>
      <c r="T88" s="2" t="s">
        <v>1692</v>
      </c>
      <c r="U88" s="2" t="s">
        <v>1693</v>
      </c>
      <c r="V88" s="2" t="s">
        <v>1694</v>
      </c>
      <c r="W88" s="2" t="s">
        <v>1695</v>
      </c>
      <c r="X88" s="2" t="s">
        <v>37</v>
      </c>
      <c r="Y88" s="4" t="s">
        <v>55</v>
      </c>
      <c r="Z88" s="4" t="s">
        <v>56</v>
      </c>
      <c r="AA88" s="4" t="s">
        <v>57</v>
      </c>
      <c r="AB88" s="4">
        <v>2044</v>
      </c>
      <c r="AC88" s="4">
        <v>27</v>
      </c>
      <c r="AD88" s="4">
        <v>137</v>
      </c>
      <c r="AE88" s="2" t="s">
        <v>58</v>
      </c>
      <c r="AF88" s="2" t="s">
        <v>59</v>
      </c>
      <c r="AG88" s="2" t="s">
        <v>60</v>
      </c>
      <c r="AH88" s="2" t="s">
        <v>1696</v>
      </c>
      <c r="AI88" s="2" t="s">
        <v>62</v>
      </c>
    </row>
    <row r="89" spans="1:35" x14ac:dyDescent="0.25">
      <c r="A89" s="2" t="s">
        <v>1697</v>
      </c>
      <c r="B89" s="2" t="s">
        <v>1698</v>
      </c>
      <c r="C89" s="2" t="s">
        <v>37</v>
      </c>
      <c r="D89" s="2" t="s">
        <v>38</v>
      </c>
      <c r="E89" s="2" t="s">
        <v>1699</v>
      </c>
      <c r="F89" s="2">
        <f>1-555-1088</f>
        <v>-1642</v>
      </c>
      <c r="G89" s="2" t="b">
        <v>1</v>
      </c>
      <c r="H89" s="2" t="b">
        <v>1</v>
      </c>
      <c r="I89" s="2" t="s">
        <v>1700</v>
      </c>
      <c r="J89" s="2" t="s">
        <v>1701</v>
      </c>
      <c r="K89" s="2" t="s">
        <v>1702</v>
      </c>
      <c r="L89" s="2" t="s">
        <v>1703</v>
      </c>
      <c r="M89" s="2" t="s">
        <v>1704</v>
      </c>
      <c r="N89" s="2" t="s">
        <v>1705</v>
      </c>
      <c r="O89" s="2" t="s">
        <v>1706</v>
      </c>
      <c r="P89" s="2" t="s">
        <v>1707</v>
      </c>
      <c r="Q89" s="2" t="s">
        <v>1708</v>
      </c>
      <c r="R89" s="2" t="s">
        <v>1709</v>
      </c>
      <c r="S89" s="2" t="s">
        <v>1710</v>
      </c>
      <c r="T89" s="2" t="s">
        <v>1711</v>
      </c>
      <c r="U89" s="2" t="s">
        <v>1712</v>
      </c>
      <c r="V89" s="2" t="s">
        <v>1713</v>
      </c>
      <c r="W89" s="2" t="s">
        <v>1714</v>
      </c>
      <c r="X89" s="2" t="s">
        <v>37</v>
      </c>
      <c r="Y89" s="4" t="s">
        <v>55</v>
      </c>
      <c r="Z89" s="4" t="s">
        <v>56</v>
      </c>
      <c r="AA89" s="4" t="s">
        <v>57</v>
      </c>
      <c r="AB89" s="4">
        <v>2056</v>
      </c>
      <c r="AC89" s="4">
        <v>28</v>
      </c>
      <c r="AD89" s="4">
        <v>138</v>
      </c>
      <c r="AE89" s="2" t="s">
        <v>58</v>
      </c>
      <c r="AF89" s="2" t="s">
        <v>59</v>
      </c>
      <c r="AG89" s="2" t="s">
        <v>60</v>
      </c>
      <c r="AH89" s="2" t="s">
        <v>1715</v>
      </c>
      <c r="AI89" s="2" t="s">
        <v>62</v>
      </c>
    </row>
    <row r="90" spans="1:35" x14ac:dyDescent="0.25">
      <c r="A90" s="2" t="s">
        <v>1716</v>
      </c>
      <c r="B90" s="2" t="s">
        <v>1717</v>
      </c>
      <c r="C90" s="2" t="s">
        <v>37</v>
      </c>
      <c r="D90" s="2" t="s">
        <v>38</v>
      </c>
      <c r="E90" s="2" t="s">
        <v>1718</v>
      </c>
      <c r="F90" s="2">
        <f>1-555-1089</f>
        <v>-1643</v>
      </c>
      <c r="G90" s="2" t="b">
        <v>1</v>
      </c>
      <c r="H90" s="2" t="b">
        <v>1</v>
      </c>
      <c r="I90" s="2" t="s">
        <v>1719</v>
      </c>
      <c r="J90" s="2" t="s">
        <v>1720</v>
      </c>
      <c r="K90" s="2" t="s">
        <v>1721</v>
      </c>
      <c r="L90" s="2" t="s">
        <v>1722</v>
      </c>
      <c r="M90" s="2" t="s">
        <v>1723</v>
      </c>
      <c r="N90" s="2" t="s">
        <v>1724</v>
      </c>
      <c r="O90" s="2" t="s">
        <v>1725</v>
      </c>
      <c r="P90" s="2" t="s">
        <v>1726</v>
      </c>
      <c r="Q90" s="2" t="s">
        <v>1727</v>
      </c>
      <c r="R90" s="2" t="s">
        <v>1728</v>
      </c>
      <c r="S90" s="2" t="s">
        <v>1729</v>
      </c>
      <c r="T90" s="2" t="s">
        <v>1730</v>
      </c>
      <c r="U90" s="2" t="s">
        <v>1731</v>
      </c>
      <c r="V90" s="2" t="s">
        <v>1732</v>
      </c>
      <c r="W90" s="2" t="s">
        <v>1733</v>
      </c>
      <c r="X90" s="2" t="s">
        <v>37</v>
      </c>
      <c r="Y90" s="4" t="s">
        <v>55</v>
      </c>
      <c r="Z90" s="4" t="s">
        <v>56</v>
      </c>
      <c r="AA90" s="4" t="s">
        <v>57</v>
      </c>
      <c r="AB90" s="4">
        <v>2068</v>
      </c>
      <c r="AC90" s="4">
        <v>29</v>
      </c>
      <c r="AD90" s="4">
        <v>139</v>
      </c>
      <c r="AE90" s="2" t="s">
        <v>58</v>
      </c>
      <c r="AF90" s="2" t="s">
        <v>59</v>
      </c>
      <c r="AG90" s="2" t="s">
        <v>60</v>
      </c>
      <c r="AH90" s="2" t="s">
        <v>1734</v>
      </c>
      <c r="AI90" s="2" t="s">
        <v>62</v>
      </c>
    </row>
    <row r="91" spans="1:35" x14ac:dyDescent="0.25">
      <c r="A91" s="2" t="s">
        <v>1735</v>
      </c>
      <c r="B91" s="2" t="s">
        <v>1736</v>
      </c>
      <c r="C91" s="2" t="s">
        <v>37</v>
      </c>
      <c r="D91" s="2" t="s">
        <v>38</v>
      </c>
      <c r="E91" s="2" t="s">
        <v>1737</v>
      </c>
      <c r="F91" s="2">
        <f>1-555-1090</f>
        <v>-1644</v>
      </c>
      <c r="G91" s="2" t="b">
        <v>1</v>
      </c>
      <c r="H91" s="2" t="b">
        <v>1</v>
      </c>
      <c r="I91" s="2" t="s">
        <v>1738</v>
      </c>
      <c r="J91" s="2" t="s">
        <v>1739</v>
      </c>
      <c r="K91" s="2" t="s">
        <v>1740</v>
      </c>
      <c r="L91" s="2" t="s">
        <v>1741</v>
      </c>
      <c r="M91" s="2" t="s">
        <v>1742</v>
      </c>
      <c r="N91" s="2" t="s">
        <v>1743</v>
      </c>
      <c r="O91" s="2" t="s">
        <v>1744</v>
      </c>
      <c r="P91" s="2" t="s">
        <v>1745</v>
      </c>
      <c r="Q91" s="2" t="s">
        <v>1746</v>
      </c>
      <c r="R91" s="2" t="s">
        <v>1747</v>
      </c>
      <c r="S91" s="2" t="s">
        <v>1748</v>
      </c>
      <c r="T91" s="2" t="s">
        <v>1749</v>
      </c>
      <c r="U91" s="2" t="s">
        <v>1750</v>
      </c>
      <c r="V91" s="2" t="s">
        <v>1751</v>
      </c>
      <c r="W91" s="2" t="s">
        <v>1752</v>
      </c>
      <c r="X91" s="2" t="s">
        <v>37</v>
      </c>
      <c r="Y91" s="4" t="s">
        <v>55</v>
      </c>
      <c r="Z91" s="4" t="s">
        <v>56</v>
      </c>
      <c r="AA91" s="4" t="s">
        <v>57</v>
      </c>
      <c r="AB91" s="4">
        <v>2080</v>
      </c>
      <c r="AC91" s="4">
        <v>30</v>
      </c>
      <c r="AD91" s="4">
        <v>140</v>
      </c>
      <c r="AE91" s="2" t="s">
        <v>58</v>
      </c>
      <c r="AF91" s="2" t="s">
        <v>59</v>
      </c>
      <c r="AG91" s="2" t="s">
        <v>60</v>
      </c>
      <c r="AH91" s="2" t="s">
        <v>1753</v>
      </c>
      <c r="AI91" s="2" t="s">
        <v>62</v>
      </c>
    </row>
    <row r="92" spans="1:35" x14ac:dyDescent="0.25">
      <c r="A92" s="2" t="s">
        <v>1754</v>
      </c>
      <c r="B92" s="2" t="s">
        <v>1755</v>
      </c>
      <c r="C92" s="2" t="s">
        <v>37</v>
      </c>
      <c r="D92" s="2" t="s">
        <v>38</v>
      </c>
      <c r="E92" s="2" t="s">
        <v>1756</v>
      </c>
      <c r="F92" s="2">
        <f>1-555-1091</f>
        <v>-1645</v>
      </c>
      <c r="G92" s="2" t="b">
        <v>1</v>
      </c>
      <c r="H92" s="2" t="b">
        <v>1</v>
      </c>
      <c r="I92" s="2" t="s">
        <v>1757</v>
      </c>
      <c r="J92" s="2" t="s">
        <v>1758</v>
      </c>
      <c r="K92" s="2" t="s">
        <v>1759</v>
      </c>
      <c r="L92" s="2" t="s">
        <v>1760</v>
      </c>
      <c r="M92" s="2" t="s">
        <v>1761</v>
      </c>
      <c r="N92" s="2" t="s">
        <v>1762</v>
      </c>
      <c r="O92" s="2" t="s">
        <v>1763</v>
      </c>
      <c r="P92" s="2" t="s">
        <v>1764</v>
      </c>
      <c r="Q92" s="2" t="s">
        <v>1765</v>
      </c>
      <c r="R92" s="2" t="s">
        <v>1766</v>
      </c>
      <c r="S92" s="2" t="s">
        <v>1767</v>
      </c>
      <c r="T92" s="2" t="s">
        <v>1768</v>
      </c>
      <c r="U92" s="2" t="s">
        <v>1769</v>
      </c>
      <c r="V92" s="2" t="s">
        <v>1770</v>
      </c>
      <c r="W92" s="2" t="s">
        <v>1771</v>
      </c>
      <c r="X92" s="2" t="s">
        <v>37</v>
      </c>
      <c r="Y92" s="4" t="s">
        <v>55</v>
      </c>
      <c r="Z92" s="4" t="s">
        <v>56</v>
      </c>
      <c r="AA92" s="4" t="s">
        <v>57</v>
      </c>
      <c r="AB92" s="4">
        <v>2092</v>
      </c>
      <c r="AC92" s="4">
        <v>31</v>
      </c>
      <c r="AD92" s="4">
        <v>141</v>
      </c>
      <c r="AE92" s="2" t="s">
        <v>58</v>
      </c>
      <c r="AF92" s="2" t="s">
        <v>59</v>
      </c>
      <c r="AG92" s="2" t="s">
        <v>60</v>
      </c>
      <c r="AH92" s="2" t="s">
        <v>1772</v>
      </c>
      <c r="AI92" s="2" t="s">
        <v>62</v>
      </c>
    </row>
    <row r="93" spans="1:35" x14ac:dyDescent="0.25">
      <c r="A93" s="2" t="s">
        <v>1773</v>
      </c>
      <c r="B93" s="2" t="s">
        <v>1774</v>
      </c>
      <c r="C93" s="2" t="s">
        <v>37</v>
      </c>
      <c r="D93" s="2" t="s">
        <v>38</v>
      </c>
      <c r="E93" s="2" t="s">
        <v>1775</v>
      </c>
      <c r="F93" s="2">
        <f>1-555-1092</f>
        <v>-1646</v>
      </c>
      <c r="G93" s="2" t="b">
        <v>1</v>
      </c>
      <c r="H93" s="2" t="b">
        <v>1</v>
      </c>
      <c r="I93" s="2" t="s">
        <v>1776</v>
      </c>
      <c r="J93" s="2" t="s">
        <v>1777</v>
      </c>
      <c r="K93" s="2" t="s">
        <v>1778</v>
      </c>
      <c r="L93" s="2" t="s">
        <v>1779</v>
      </c>
      <c r="M93" s="2" t="s">
        <v>1780</v>
      </c>
      <c r="N93" s="2" t="s">
        <v>1781</v>
      </c>
      <c r="O93" s="2" t="s">
        <v>1782</v>
      </c>
      <c r="P93" s="2" t="s">
        <v>1783</v>
      </c>
      <c r="Q93" s="2" t="s">
        <v>1784</v>
      </c>
      <c r="R93" s="2" t="s">
        <v>1785</v>
      </c>
      <c r="S93" s="2" t="s">
        <v>1786</v>
      </c>
      <c r="T93" s="2" t="s">
        <v>1787</v>
      </c>
      <c r="U93" s="2" t="s">
        <v>1788</v>
      </c>
      <c r="V93" s="2" t="s">
        <v>1789</v>
      </c>
      <c r="W93" s="2" t="s">
        <v>1790</v>
      </c>
      <c r="X93" s="2" t="s">
        <v>37</v>
      </c>
      <c r="Y93" s="4" t="s">
        <v>55</v>
      </c>
      <c r="Z93" s="4" t="s">
        <v>56</v>
      </c>
      <c r="AA93" s="4" t="s">
        <v>57</v>
      </c>
      <c r="AB93" s="4">
        <v>2104</v>
      </c>
      <c r="AC93" s="4">
        <v>32</v>
      </c>
      <c r="AD93" s="4">
        <v>142</v>
      </c>
      <c r="AE93" s="2" t="s">
        <v>58</v>
      </c>
      <c r="AF93" s="2" t="s">
        <v>59</v>
      </c>
      <c r="AG93" s="2" t="s">
        <v>60</v>
      </c>
      <c r="AH93" s="2" t="s">
        <v>1791</v>
      </c>
      <c r="AI93" s="2" t="s">
        <v>62</v>
      </c>
    </row>
    <row r="94" spans="1:35" x14ac:dyDescent="0.25">
      <c r="A94" s="2" t="s">
        <v>1792</v>
      </c>
      <c r="B94" s="2" t="s">
        <v>1793</v>
      </c>
      <c r="C94" s="2" t="s">
        <v>37</v>
      </c>
      <c r="D94" s="2" t="s">
        <v>38</v>
      </c>
      <c r="E94" s="2" t="s">
        <v>1794</v>
      </c>
      <c r="F94" s="2">
        <f>1-555-1093</f>
        <v>-1647</v>
      </c>
      <c r="G94" s="2" t="b">
        <v>1</v>
      </c>
      <c r="H94" s="2" t="b">
        <v>1</v>
      </c>
      <c r="I94" s="2" t="s">
        <v>1795</v>
      </c>
      <c r="J94" s="2" t="s">
        <v>1796</v>
      </c>
      <c r="K94" s="2" t="s">
        <v>1797</v>
      </c>
      <c r="L94" s="2" t="s">
        <v>1798</v>
      </c>
      <c r="M94" s="2" t="s">
        <v>1799</v>
      </c>
      <c r="N94" s="2" t="s">
        <v>1800</v>
      </c>
      <c r="O94" s="2" t="s">
        <v>1801</v>
      </c>
      <c r="P94" s="2" t="s">
        <v>1802</v>
      </c>
      <c r="Q94" s="2" t="s">
        <v>1803</v>
      </c>
      <c r="R94" s="2" t="s">
        <v>1804</v>
      </c>
      <c r="S94" s="2" t="s">
        <v>1805</v>
      </c>
      <c r="T94" s="2" t="s">
        <v>1806</v>
      </c>
      <c r="U94" s="2" t="s">
        <v>1807</v>
      </c>
      <c r="V94" s="2" t="s">
        <v>1808</v>
      </c>
      <c r="W94" s="2" t="s">
        <v>1809</v>
      </c>
      <c r="X94" s="2" t="s">
        <v>37</v>
      </c>
      <c r="Y94" s="4" t="s">
        <v>55</v>
      </c>
      <c r="Z94" s="4" t="s">
        <v>56</v>
      </c>
      <c r="AA94" s="4" t="s">
        <v>57</v>
      </c>
      <c r="AB94" s="4">
        <v>2116</v>
      </c>
      <c r="AC94" s="4">
        <v>33</v>
      </c>
      <c r="AD94" s="4">
        <v>143</v>
      </c>
      <c r="AE94" s="2" t="s">
        <v>58</v>
      </c>
      <c r="AF94" s="2" t="s">
        <v>59</v>
      </c>
      <c r="AG94" s="2" t="s">
        <v>60</v>
      </c>
      <c r="AH94" s="2" t="s">
        <v>1810</v>
      </c>
      <c r="AI94" s="2" t="s">
        <v>62</v>
      </c>
    </row>
    <row r="95" spans="1:35" x14ac:dyDescent="0.25">
      <c r="A95" s="2" t="s">
        <v>1811</v>
      </c>
      <c r="B95" s="2" t="s">
        <v>1812</v>
      </c>
      <c r="C95" s="2" t="s">
        <v>37</v>
      </c>
      <c r="D95" s="2" t="s">
        <v>38</v>
      </c>
      <c r="E95" s="2" t="s">
        <v>1813</v>
      </c>
      <c r="F95" s="2">
        <f>1-555-1094</f>
        <v>-1648</v>
      </c>
      <c r="G95" s="2" t="b">
        <v>1</v>
      </c>
      <c r="H95" s="2" t="b">
        <v>1</v>
      </c>
      <c r="I95" s="2" t="s">
        <v>1814</v>
      </c>
      <c r="J95" s="2" t="s">
        <v>1815</v>
      </c>
      <c r="K95" s="2" t="s">
        <v>1816</v>
      </c>
      <c r="L95" s="2" t="s">
        <v>1817</v>
      </c>
      <c r="M95" s="2" t="s">
        <v>1818</v>
      </c>
      <c r="N95" s="2" t="s">
        <v>1819</v>
      </c>
      <c r="O95" s="2" t="s">
        <v>1820</v>
      </c>
      <c r="P95" s="2" t="s">
        <v>1821</v>
      </c>
      <c r="Q95" s="2" t="s">
        <v>1822</v>
      </c>
      <c r="R95" s="2" t="s">
        <v>1823</v>
      </c>
      <c r="S95" s="2" t="s">
        <v>1824</v>
      </c>
      <c r="T95" s="2" t="s">
        <v>1825</v>
      </c>
      <c r="U95" s="2" t="s">
        <v>1826</v>
      </c>
      <c r="V95" s="2" t="s">
        <v>1827</v>
      </c>
      <c r="W95" s="2" t="s">
        <v>1828</v>
      </c>
      <c r="X95" s="2" t="s">
        <v>37</v>
      </c>
      <c r="Y95" s="4" t="s">
        <v>55</v>
      </c>
      <c r="Z95" s="4" t="s">
        <v>56</v>
      </c>
      <c r="AA95" s="4" t="s">
        <v>57</v>
      </c>
      <c r="AB95" s="4">
        <v>2128</v>
      </c>
      <c r="AC95" s="4">
        <v>34</v>
      </c>
      <c r="AD95" s="4">
        <v>144</v>
      </c>
      <c r="AE95" s="2" t="s">
        <v>58</v>
      </c>
      <c r="AF95" s="2" t="s">
        <v>59</v>
      </c>
      <c r="AG95" s="2" t="s">
        <v>60</v>
      </c>
      <c r="AH95" s="2" t="s">
        <v>1829</v>
      </c>
      <c r="AI95" s="2" t="s">
        <v>62</v>
      </c>
    </row>
    <row r="96" spans="1:35" x14ac:dyDescent="0.25">
      <c r="A96" s="2" t="s">
        <v>1830</v>
      </c>
      <c r="B96" s="2" t="s">
        <v>1831</v>
      </c>
      <c r="C96" s="2" t="s">
        <v>37</v>
      </c>
      <c r="D96" s="2" t="s">
        <v>38</v>
      </c>
      <c r="E96" s="2" t="s">
        <v>1832</v>
      </c>
      <c r="F96" s="2">
        <f>1-555-1095</f>
        <v>-1649</v>
      </c>
      <c r="G96" s="2" t="b">
        <v>1</v>
      </c>
      <c r="H96" s="2" t="b">
        <v>1</v>
      </c>
      <c r="I96" s="2" t="s">
        <v>1833</v>
      </c>
      <c r="J96" s="2" t="s">
        <v>1834</v>
      </c>
      <c r="K96" s="2" t="s">
        <v>1835</v>
      </c>
      <c r="L96" s="2" t="s">
        <v>1836</v>
      </c>
      <c r="M96" s="2" t="s">
        <v>1837</v>
      </c>
      <c r="N96" s="2" t="s">
        <v>1838</v>
      </c>
      <c r="O96" s="2" t="s">
        <v>1839</v>
      </c>
      <c r="P96" s="2" t="s">
        <v>1840</v>
      </c>
      <c r="Q96" s="2" t="s">
        <v>1841</v>
      </c>
      <c r="R96" s="2" t="s">
        <v>1842</v>
      </c>
      <c r="S96" s="2" t="s">
        <v>1843</v>
      </c>
      <c r="T96" s="2" t="s">
        <v>1844</v>
      </c>
      <c r="U96" s="2" t="s">
        <v>1845</v>
      </c>
      <c r="V96" s="2" t="s">
        <v>1846</v>
      </c>
      <c r="W96" s="2" t="s">
        <v>1847</v>
      </c>
      <c r="X96" s="2" t="s">
        <v>37</v>
      </c>
      <c r="Y96" s="4" t="s">
        <v>55</v>
      </c>
      <c r="Z96" s="4" t="s">
        <v>56</v>
      </c>
      <c r="AA96" s="4" t="s">
        <v>57</v>
      </c>
      <c r="AB96" s="4">
        <v>2140</v>
      </c>
      <c r="AC96" s="4">
        <v>35</v>
      </c>
      <c r="AD96" s="4">
        <v>145</v>
      </c>
      <c r="AE96" s="2" t="s">
        <v>58</v>
      </c>
      <c r="AF96" s="2" t="s">
        <v>59</v>
      </c>
      <c r="AG96" s="2" t="s">
        <v>60</v>
      </c>
      <c r="AH96" s="2" t="s">
        <v>1848</v>
      </c>
      <c r="AI96" s="2" t="s">
        <v>62</v>
      </c>
    </row>
    <row r="97" spans="1:35" x14ac:dyDescent="0.25">
      <c r="A97" s="2" t="s">
        <v>1849</v>
      </c>
      <c r="B97" s="2" t="s">
        <v>1850</v>
      </c>
      <c r="C97" s="2" t="s">
        <v>37</v>
      </c>
      <c r="D97" s="2" t="s">
        <v>38</v>
      </c>
      <c r="E97" s="2" t="s">
        <v>1851</v>
      </c>
      <c r="F97" s="2">
        <f>1-555-1096</f>
        <v>-1650</v>
      </c>
      <c r="G97" s="2" t="b">
        <v>1</v>
      </c>
      <c r="H97" s="2" t="b">
        <v>1</v>
      </c>
      <c r="I97" s="2" t="s">
        <v>1852</v>
      </c>
      <c r="J97" s="2" t="s">
        <v>1853</v>
      </c>
      <c r="K97" s="2" t="s">
        <v>1854</v>
      </c>
      <c r="L97" s="2" t="s">
        <v>1855</v>
      </c>
      <c r="M97" s="2" t="s">
        <v>1856</v>
      </c>
      <c r="N97" s="2" t="s">
        <v>1857</v>
      </c>
      <c r="O97" s="2" t="s">
        <v>1858</v>
      </c>
      <c r="P97" s="2" t="s">
        <v>1859</v>
      </c>
      <c r="Q97" s="2" t="s">
        <v>1860</v>
      </c>
      <c r="R97" s="2" t="s">
        <v>1861</v>
      </c>
      <c r="S97" s="2" t="s">
        <v>1862</v>
      </c>
      <c r="T97" s="2" t="s">
        <v>1863</v>
      </c>
      <c r="U97" s="2" t="s">
        <v>1864</v>
      </c>
      <c r="V97" s="2" t="s">
        <v>1865</v>
      </c>
      <c r="W97" s="2" t="s">
        <v>1866</v>
      </c>
      <c r="X97" s="2" t="s">
        <v>37</v>
      </c>
      <c r="Y97" s="4" t="s">
        <v>55</v>
      </c>
      <c r="Z97" s="4" t="s">
        <v>56</v>
      </c>
      <c r="AA97" s="4" t="s">
        <v>57</v>
      </c>
      <c r="AB97" s="4">
        <v>2152</v>
      </c>
      <c r="AC97" s="4">
        <v>36</v>
      </c>
      <c r="AD97" s="4">
        <v>146</v>
      </c>
      <c r="AE97" s="2" t="s">
        <v>58</v>
      </c>
      <c r="AF97" s="2" t="s">
        <v>59</v>
      </c>
      <c r="AG97" s="2" t="s">
        <v>60</v>
      </c>
      <c r="AH97" s="2" t="s">
        <v>1867</v>
      </c>
      <c r="AI97" s="2" t="s">
        <v>62</v>
      </c>
    </row>
    <row r="98" spans="1:35" x14ac:dyDescent="0.25">
      <c r="A98" s="2" t="s">
        <v>1868</v>
      </c>
      <c r="B98" s="2" t="s">
        <v>1869</v>
      </c>
      <c r="C98" s="2" t="s">
        <v>37</v>
      </c>
      <c r="D98" s="2" t="s">
        <v>38</v>
      </c>
      <c r="E98" s="2" t="s">
        <v>1870</v>
      </c>
      <c r="F98" s="2">
        <f>1-555-1097</f>
        <v>-1651</v>
      </c>
      <c r="G98" s="2" t="b">
        <v>1</v>
      </c>
      <c r="H98" s="2" t="b">
        <v>1</v>
      </c>
      <c r="I98" s="2" t="s">
        <v>1871</v>
      </c>
      <c r="J98" s="2" t="s">
        <v>1872</v>
      </c>
      <c r="K98" s="2" t="s">
        <v>1873</v>
      </c>
      <c r="L98" s="2" t="s">
        <v>1874</v>
      </c>
      <c r="M98" s="2" t="s">
        <v>1875</v>
      </c>
      <c r="N98" s="2" t="s">
        <v>1876</v>
      </c>
      <c r="O98" s="2" t="s">
        <v>1877</v>
      </c>
      <c r="P98" s="2" t="s">
        <v>1878</v>
      </c>
      <c r="Q98" s="2" t="s">
        <v>1879</v>
      </c>
      <c r="R98" s="2" t="s">
        <v>1880</v>
      </c>
      <c r="S98" s="2" t="s">
        <v>1881</v>
      </c>
      <c r="T98" s="2" t="s">
        <v>1882</v>
      </c>
      <c r="U98" s="2" t="s">
        <v>1883</v>
      </c>
      <c r="V98" s="2" t="s">
        <v>1884</v>
      </c>
      <c r="W98" s="2" t="s">
        <v>1885</v>
      </c>
      <c r="X98" s="2" t="s">
        <v>37</v>
      </c>
      <c r="Y98" s="4" t="s">
        <v>55</v>
      </c>
      <c r="Z98" s="4" t="s">
        <v>56</v>
      </c>
      <c r="AA98" s="4" t="s">
        <v>57</v>
      </c>
      <c r="AB98" s="4">
        <v>2164</v>
      </c>
      <c r="AC98" s="4">
        <v>37</v>
      </c>
      <c r="AD98" s="4">
        <v>147</v>
      </c>
      <c r="AE98" s="2" t="s">
        <v>58</v>
      </c>
      <c r="AF98" s="2" t="s">
        <v>59</v>
      </c>
      <c r="AG98" s="2" t="s">
        <v>60</v>
      </c>
      <c r="AH98" s="2" t="s">
        <v>1886</v>
      </c>
      <c r="AI98" s="2" t="s">
        <v>62</v>
      </c>
    </row>
    <row r="99" spans="1:35" x14ac:dyDescent="0.25">
      <c r="A99" s="2" t="s">
        <v>1887</v>
      </c>
      <c r="B99" s="2" t="s">
        <v>1888</v>
      </c>
      <c r="C99" s="2" t="s">
        <v>37</v>
      </c>
      <c r="D99" s="2" t="s">
        <v>38</v>
      </c>
      <c r="E99" s="2" t="s">
        <v>1889</v>
      </c>
      <c r="F99" s="2">
        <f>1-555-1098</f>
        <v>-1652</v>
      </c>
      <c r="G99" s="2" t="b">
        <v>1</v>
      </c>
      <c r="H99" s="2" t="b">
        <v>1</v>
      </c>
      <c r="I99" s="2" t="s">
        <v>1890</v>
      </c>
      <c r="J99" s="2" t="s">
        <v>1891</v>
      </c>
      <c r="K99" s="2" t="s">
        <v>1892</v>
      </c>
      <c r="L99" s="2" t="s">
        <v>1893</v>
      </c>
      <c r="M99" s="2" t="s">
        <v>1894</v>
      </c>
      <c r="N99" s="2" t="s">
        <v>1895</v>
      </c>
      <c r="O99" s="2" t="s">
        <v>1896</v>
      </c>
      <c r="P99" s="2" t="s">
        <v>1897</v>
      </c>
      <c r="Q99" s="2" t="s">
        <v>1898</v>
      </c>
      <c r="R99" s="2" t="s">
        <v>1899</v>
      </c>
      <c r="S99" s="2" t="s">
        <v>1900</v>
      </c>
      <c r="T99" s="2" t="s">
        <v>1901</v>
      </c>
      <c r="U99" s="2" t="s">
        <v>1902</v>
      </c>
      <c r="V99" s="2" t="s">
        <v>1903</v>
      </c>
      <c r="W99" s="2" t="s">
        <v>1904</v>
      </c>
      <c r="X99" s="2" t="s">
        <v>37</v>
      </c>
      <c r="Y99" s="4" t="s">
        <v>55</v>
      </c>
      <c r="Z99" s="4" t="s">
        <v>56</v>
      </c>
      <c r="AA99" s="4" t="s">
        <v>57</v>
      </c>
      <c r="AB99" s="4">
        <v>2176</v>
      </c>
      <c r="AC99" s="4">
        <v>38</v>
      </c>
      <c r="AD99" s="4">
        <v>148</v>
      </c>
      <c r="AE99" s="2" t="s">
        <v>58</v>
      </c>
      <c r="AF99" s="2" t="s">
        <v>59</v>
      </c>
      <c r="AG99" s="2" t="s">
        <v>60</v>
      </c>
      <c r="AH99" s="2" t="s">
        <v>1905</v>
      </c>
      <c r="AI99" s="2" t="s">
        <v>62</v>
      </c>
    </row>
    <row r="100" spans="1:35" x14ac:dyDescent="0.25">
      <c r="A100" s="2" t="s">
        <v>1906</v>
      </c>
      <c r="B100" s="2" t="s">
        <v>1907</v>
      </c>
      <c r="C100" s="2" t="s">
        <v>37</v>
      </c>
      <c r="D100" s="2" t="s">
        <v>38</v>
      </c>
      <c r="E100" s="2" t="s">
        <v>1908</v>
      </c>
      <c r="F100" s="2">
        <f>1-555-1099</f>
        <v>-1653</v>
      </c>
      <c r="G100" s="2" t="b">
        <v>1</v>
      </c>
      <c r="H100" s="2" t="b">
        <v>1</v>
      </c>
      <c r="I100" s="2" t="s">
        <v>1909</v>
      </c>
      <c r="J100" s="2" t="s">
        <v>1910</v>
      </c>
      <c r="K100" s="2" t="s">
        <v>1911</v>
      </c>
      <c r="L100" s="2" t="s">
        <v>1912</v>
      </c>
      <c r="M100" s="2" t="s">
        <v>1913</v>
      </c>
      <c r="N100" s="2" t="s">
        <v>1914</v>
      </c>
      <c r="O100" s="2" t="s">
        <v>1915</v>
      </c>
      <c r="P100" s="2" t="s">
        <v>1916</v>
      </c>
      <c r="Q100" s="2" t="s">
        <v>1917</v>
      </c>
      <c r="R100" s="2" t="s">
        <v>1918</v>
      </c>
      <c r="S100" s="2" t="s">
        <v>1919</v>
      </c>
      <c r="T100" s="2" t="s">
        <v>1920</v>
      </c>
      <c r="U100" s="2" t="s">
        <v>1921</v>
      </c>
      <c r="V100" s="2" t="s">
        <v>1922</v>
      </c>
      <c r="W100" s="2" t="s">
        <v>1923</v>
      </c>
      <c r="X100" s="2" t="s">
        <v>37</v>
      </c>
      <c r="Y100" s="4" t="s">
        <v>55</v>
      </c>
      <c r="Z100" s="4" t="s">
        <v>56</v>
      </c>
      <c r="AA100" s="4" t="s">
        <v>57</v>
      </c>
      <c r="AB100" s="4">
        <v>2188</v>
      </c>
      <c r="AC100" s="4">
        <v>39</v>
      </c>
      <c r="AD100" s="4">
        <v>149</v>
      </c>
      <c r="AE100" s="2" t="s">
        <v>58</v>
      </c>
      <c r="AF100" s="2" t="s">
        <v>59</v>
      </c>
      <c r="AG100" s="2" t="s">
        <v>60</v>
      </c>
      <c r="AH100" s="2" t="s">
        <v>1924</v>
      </c>
      <c r="AI100" s="2" t="s">
        <v>62</v>
      </c>
    </row>
    <row r="101" spans="1:35" x14ac:dyDescent="0.25">
      <c r="A101" s="2" t="s">
        <v>1925</v>
      </c>
      <c r="B101" s="2" t="s">
        <v>1926</v>
      </c>
      <c r="C101" s="2" t="s">
        <v>37</v>
      </c>
      <c r="D101" s="2" t="s">
        <v>38</v>
      </c>
      <c r="E101" s="2" t="s">
        <v>1927</v>
      </c>
      <c r="F101" s="2">
        <f>1-555-1100</f>
        <v>-1654</v>
      </c>
      <c r="G101" s="2" t="b">
        <v>1</v>
      </c>
      <c r="H101" s="2" t="b">
        <v>1</v>
      </c>
      <c r="I101" s="2" t="s">
        <v>1928</v>
      </c>
      <c r="J101" s="2" t="s">
        <v>1929</v>
      </c>
      <c r="K101" s="2" t="s">
        <v>1930</v>
      </c>
      <c r="L101" s="2" t="s">
        <v>1931</v>
      </c>
      <c r="M101" s="2" t="s">
        <v>1932</v>
      </c>
      <c r="N101" s="2" t="s">
        <v>1933</v>
      </c>
      <c r="O101" s="2" t="s">
        <v>1934</v>
      </c>
      <c r="P101" s="2" t="s">
        <v>1935</v>
      </c>
      <c r="Q101" s="2" t="s">
        <v>1936</v>
      </c>
      <c r="R101" s="2" t="s">
        <v>1937</v>
      </c>
      <c r="S101" s="2" t="s">
        <v>1938</v>
      </c>
      <c r="T101" s="2" t="s">
        <v>1939</v>
      </c>
      <c r="U101" s="2" t="s">
        <v>1940</v>
      </c>
      <c r="V101" s="2" t="s">
        <v>1941</v>
      </c>
      <c r="W101" s="2" t="s">
        <v>1942</v>
      </c>
      <c r="X101" s="2" t="s">
        <v>37</v>
      </c>
      <c r="Y101" s="4" t="s">
        <v>55</v>
      </c>
      <c r="Z101" s="4" t="s">
        <v>56</v>
      </c>
      <c r="AA101" s="4" t="s">
        <v>57</v>
      </c>
      <c r="AB101" s="4">
        <v>2200</v>
      </c>
      <c r="AC101" s="4">
        <v>20</v>
      </c>
      <c r="AD101" s="4">
        <v>150</v>
      </c>
      <c r="AE101" s="2" t="s">
        <v>58</v>
      </c>
      <c r="AF101" s="2" t="s">
        <v>59</v>
      </c>
      <c r="AG101" s="2" t="s">
        <v>60</v>
      </c>
      <c r="AH101" s="2" t="s">
        <v>1943</v>
      </c>
      <c r="AI101" s="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demo_ai_engineer_evaluation_PLA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Mendoza</dc:creator>
  <cp:lastModifiedBy>Dave Mendoza</cp:lastModifiedBy>
  <dcterms:created xsi:type="dcterms:W3CDTF">2025-12-20T02:53:13Z</dcterms:created>
  <dcterms:modified xsi:type="dcterms:W3CDTF">2025-12-20T03:40:07Z</dcterms:modified>
</cp:coreProperties>
</file>